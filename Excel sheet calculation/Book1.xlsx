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7th semester-----------++++++++++++++++\installation\Apartment Building at Anuradhapura\Apartment Building at Anuradhapura\"/>
    </mc:Choice>
  </mc:AlternateContent>
  <xr:revisionPtr revIDLastSave="0" documentId="13_ncr:1_{A407B805-5D2A-42D9-955F-6E2D71E7F056}" xr6:coauthVersionLast="45" xr6:coauthVersionMax="45" xr10:uidLastSave="{00000000-0000-0000-0000-000000000000}"/>
  <bookViews>
    <workbookView xWindow="-108" yWindow="-108" windowWidth="23256" windowHeight="12576" xr2:uid="{3D60AB94-F7A4-4353-9FB2-8E2FCE3C58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14" i="1"/>
  <c r="H15" i="1"/>
  <c r="H17" i="1"/>
  <c r="H10" i="1"/>
  <c r="K22" i="1" l="1"/>
  <c r="K21" i="1"/>
  <c r="K20" i="1"/>
  <c r="K19" i="1"/>
  <c r="H22" i="1"/>
  <c r="N22" i="1" s="1"/>
  <c r="O22" i="1" s="1"/>
  <c r="H21" i="1"/>
  <c r="N21" i="1" s="1"/>
  <c r="O21" i="1" s="1"/>
  <c r="H20" i="1"/>
  <c r="N20" i="1" s="1"/>
  <c r="O20" i="1" s="1"/>
  <c r="H19" i="1"/>
  <c r="N19" i="1" s="1"/>
  <c r="O19" i="1" s="1"/>
  <c r="N17" i="1"/>
  <c r="O17" i="1" s="1"/>
  <c r="N18" i="1"/>
  <c r="O18" i="1" s="1"/>
  <c r="K18" i="1"/>
  <c r="K15" i="1"/>
  <c r="K16" i="1"/>
  <c r="K17" i="1"/>
  <c r="K14" i="1"/>
  <c r="N15" i="1"/>
  <c r="O15" i="1" s="1"/>
  <c r="H16" i="1"/>
  <c r="N16" i="1" s="1"/>
  <c r="O16" i="1" s="1"/>
  <c r="H18" i="1"/>
  <c r="N14" i="1"/>
  <c r="O14" i="1" s="1"/>
  <c r="K13" i="1"/>
  <c r="K12" i="1"/>
  <c r="K11" i="1"/>
  <c r="K10" i="1"/>
  <c r="N11" i="1"/>
  <c r="O11" i="1" s="1"/>
  <c r="N10" i="1"/>
  <c r="O10" i="1" s="1"/>
  <c r="H12" i="1"/>
  <c r="N12" i="1" s="1"/>
  <c r="O12" i="1" s="1"/>
  <c r="H13" i="1"/>
  <c r="N13" i="1" s="1"/>
  <c r="O13" i="1" s="1"/>
  <c r="K3" i="1"/>
  <c r="K4" i="1"/>
  <c r="K5" i="1"/>
  <c r="K6" i="1"/>
  <c r="K7" i="1"/>
  <c r="K8" i="1"/>
  <c r="K9" i="1"/>
  <c r="K2" i="1"/>
  <c r="H3" i="1"/>
  <c r="N3" i="1" s="1"/>
  <c r="O3" i="1" s="1"/>
  <c r="H4" i="1"/>
  <c r="N4" i="1" s="1"/>
  <c r="O4" i="1" s="1"/>
  <c r="H5" i="1"/>
  <c r="N5" i="1" s="1"/>
  <c r="O5" i="1" s="1"/>
  <c r="H6" i="1"/>
  <c r="N6" i="1" s="1"/>
  <c r="O6" i="1" s="1"/>
  <c r="H7" i="1"/>
  <c r="N7" i="1" s="1"/>
  <c r="O7" i="1" s="1"/>
  <c r="H8" i="1"/>
  <c r="N8" i="1" s="1"/>
  <c r="O8" i="1" s="1"/>
  <c r="H9" i="1"/>
  <c r="N9" i="1" s="1"/>
  <c r="O9" i="1" s="1"/>
  <c r="H2" i="1"/>
  <c r="N2" i="1" s="1"/>
  <c r="O2" i="1" s="1"/>
</calcChain>
</file>

<file path=xl/sharedStrings.xml><?xml version="1.0" encoding="utf-8"?>
<sst xmlns="http://schemas.openxmlformats.org/spreadsheetml/2006/main" count="83" uniqueCount="50">
  <si>
    <t>Cable From</t>
  </si>
  <si>
    <t>Cable To</t>
  </si>
  <si>
    <t>Length (m)</t>
  </si>
  <si>
    <t>Ca</t>
  </si>
  <si>
    <t>Cg</t>
  </si>
  <si>
    <t>Ib design (A)</t>
  </si>
  <si>
    <t>In rated (A)</t>
  </si>
  <si>
    <t>Cable cross section (mm²)</t>
  </si>
  <si>
    <t>Voltage Drop (mV/A/m)</t>
  </si>
  <si>
    <t>Calculated Voltage drop (%)</t>
  </si>
  <si>
    <t>Cable</t>
  </si>
  <si>
    <t>MDB</t>
  </si>
  <si>
    <t>SDB-GF</t>
  </si>
  <si>
    <t>SDB-F1</t>
  </si>
  <si>
    <t>SDB-F2</t>
  </si>
  <si>
    <t>SDB-F3</t>
  </si>
  <si>
    <t>Water Pump (Duty)</t>
  </si>
  <si>
    <t>Water Pump (Standby)</t>
  </si>
  <si>
    <t>First Floor to Third Floor</t>
  </si>
  <si>
    <t>DB-APT1 (Left)</t>
  </si>
  <si>
    <t>DB-APT2 (Right)</t>
  </si>
  <si>
    <t>Roof Top</t>
  </si>
  <si>
    <t>Kitchen Eq (3P)</t>
  </si>
  <si>
    <t>Pool Pump (3P)</t>
  </si>
  <si>
    <t>SDB-RF</t>
  </si>
  <si>
    <t>Main Sub Lines(essential)</t>
  </si>
  <si>
    <t>Main Sub Lines(non-essential)</t>
  </si>
  <si>
    <t>connected load (kVA)</t>
  </si>
  <si>
    <t>Iz before derating (A)</t>
  </si>
  <si>
    <t>Iz after derating(A)</t>
  </si>
  <si>
    <t>voltage drop factor (table 4E2B)</t>
  </si>
  <si>
    <t>4C Cu/XLPE/PVC 2.5mm2</t>
  </si>
  <si>
    <t>4C Cu/XLPE/PVC 1mm2</t>
  </si>
  <si>
    <t>4C Cu/XLPE/PVC 4mm2</t>
  </si>
  <si>
    <t>DB-APRT</t>
  </si>
  <si>
    <t>Ground Floor SDB</t>
  </si>
  <si>
    <t>DB-Common</t>
  </si>
  <si>
    <t>4 Cu/XLPE/PVC 1mm2</t>
  </si>
  <si>
    <t>SDB-F1 (non essential)</t>
  </si>
  <si>
    <t>SDB-F1(essential)</t>
  </si>
  <si>
    <t>SDB-F1 (essential)</t>
  </si>
  <si>
    <t>common lobby</t>
  </si>
  <si>
    <t>Elevator motor</t>
  </si>
  <si>
    <t>Common DB</t>
  </si>
  <si>
    <t>4 Cu/PVC/PVC 1.5mm2</t>
  </si>
  <si>
    <t>4 Cu/PVC/PVC 1.5 mm2</t>
  </si>
  <si>
    <t>2 Cu/PVC/PVC 2.5 mm2</t>
  </si>
  <si>
    <t>4 Cu/PVC/PVC 2.5 mm2</t>
  </si>
  <si>
    <t>2 Cu/PVC/PVC 1.5 mm2</t>
  </si>
  <si>
    <t>4 Cu/XLPE/PVC 2.5mm2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</si>
</sst>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 textRotation="90"/>
    </xf>
    <xf numFmtId="0" fontId="1" fillId="2" borderId="6" xfId="0" applyFont="1" applyFill="1" applyBorder="1" applyAlignment="1">
      <alignment horizontal="center" vertical="center" textRotation="90"/>
    </xf>
    <xf numFmtId="0" fontId="1" fillId="3" borderId="7" xfId="0" applyFont="1" applyFill="1" applyBorder="1" applyAlignment="1">
      <alignment horizontal="center" vertical="center" textRotation="90"/>
    </xf>
    <xf numFmtId="0" fontId="1" fillId="3" borderId="4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textRotation="90"/>
    </xf>
    <xf numFmtId="0" fontId="1" fillId="4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DA44-5723-43C6-A3D1-3A439EE76CAC}">
  <dimension ref="A1:P22"/>
  <sheetViews>
    <sheetView tabSelected="1" workbookViewId="0">
      <pane ySplit="1" topLeftCell="A2" activePane="bottomLeft" state="frozen"/>
      <selection pane="bottomLeft" activeCell="D19" sqref="D19:P22"/>
    </sheetView>
  </sheetViews>
  <sheetFormatPr defaultRowHeight="14.4" x14ac:dyDescent="0.3"/>
  <cols>
    <col min="2" max="2" width="10.33203125" customWidth="1"/>
    <col min="3" max="3" width="13.6640625" customWidth="1"/>
    <col min="16" max="16" width="24.109375" customWidth="1"/>
  </cols>
  <sheetData>
    <row r="1" spans="1:16" ht="161.4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27</v>
      </c>
      <c r="H1" s="2" t="s">
        <v>5</v>
      </c>
      <c r="I1" s="2" t="s">
        <v>6</v>
      </c>
      <c r="J1" s="2" t="s">
        <v>28</v>
      </c>
      <c r="K1" s="2" t="s">
        <v>29</v>
      </c>
      <c r="L1" s="2" t="s">
        <v>7</v>
      </c>
      <c r="M1" s="2" t="s">
        <v>30</v>
      </c>
      <c r="N1" s="2" t="s">
        <v>8</v>
      </c>
      <c r="O1" s="2" t="s">
        <v>9</v>
      </c>
      <c r="P1" s="2" t="s">
        <v>10</v>
      </c>
    </row>
    <row r="2" spans="1:16" ht="15" thickBot="1" x14ac:dyDescent="0.35">
      <c r="A2" s="8" t="s">
        <v>25</v>
      </c>
      <c r="B2" s="3" t="s">
        <v>11</v>
      </c>
      <c r="C2" s="3" t="s">
        <v>12</v>
      </c>
      <c r="D2" s="4">
        <v>5</v>
      </c>
      <c r="E2" s="4">
        <v>0.96</v>
      </c>
      <c r="F2" s="4">
        <v>1</v>
      </c>
      <c r="G2" s="4">
        <v>11.46</v>
      </c>
      <c r="H2" s="4">
        <f>(G2*1000)/(SQRT(3)*400)</f>
        <v>16.541085212282777</v>
      </c>
      <c r="I2" s="4">
        <v>25</v>
      </c>
      <c r="J2" s="4">
        <v>32</v>
      </c>
      <c r="K2" s="4">
        <f>J2*E2*F2</f>
        <v>30.72</v>
      </c>
      <c r="L2" s="4">
        <v>2.5</v>
      </c>
      <c r="M2" s="4">
        <v>16</v>
      </c>
      <c r="N2" s="4">
        <f>H2*M2*D2/1000</f>
        <v>1.3232868169826222</v>
      </c>
      <c r="O2" s="4">
        <f>N2/400*100</f>
        <v>0.33082170424565555</v>
      </c>
      <c r="P2" s="5" t="s">
        <v>31</v>
      </c>
    </row>
    <row r="3" spans="1:16" ht="15" thickBot="1" x14ac:dyDescent="0.35">
      <c r="A3" s="9"/>
      <c r="B3" s="3" t="s">
        <v>11</v>
      </c>
      <c r="C3" s="3" t="s">
        <v>13</v>
      </c>
      <c r="D3" s="4">
        <v>12</v>
      </c>
      <c r="E3" s="4">
        <v>0.96</v>
      </c>
      <c r="F3" s="4">
        <v>0.76</v>
      </c>
      <c r="G3" s="4">
        <v>3.1</v>
      </c>
      <c r="H3" s="4">
        <f t="shared" ref="H3:H15" si="0">(G3*1000)/(SQRT(3)*400)</f>
        <v>4.4744645862196002</v>
      </c>
      <c r="I3" s="4">
        <v>6</v>
      </c>
      <c r="J3" s="4">
        <v>18</v>
      </c>
      <c r="K3" s="4">
        <f t="shared" ref="K3:K22" si="1">J3*E3*F3</f>
        <v>13.132800000000001</v>
      </c>
      <c r="L3" s="4">
        <v>1</v>
      </c>
      <c r="M3" s="4">
        <v>40</v>
      </c>
      <c r="N3" s="4">
        <f t="shared" ref="N3:N22" si="2">H3*M3*D3/1000</f>
        <v>2.1477430013854084</v>
      </c>
      <c r="O3" s="4">
        <f t="shared" ref="O3:O22" si="3">N3/400*100</f>
        <v>0.5369357503463521</v>
      </c>
      <c r="P3" s="5" t="s">
        <v>32</v>
      </c>
    </row>
    <row r="4" spans="1:16" ht="15" thickBot="1" x14ac:dyDescent="0.35">
      <c r="A4" s="9"/>
      <c r="B4" s="3" t="s">
        <v>11</v>
      </c>
      <c r="C4" s="3" t="s">
        <v>14</v>
      </c>
      <c r="D4" s="4">
        <v>16</v>
      </c>
      <c r="E4" s="4">
        <v>0.96</v>
      </c>
      <c r="F4" s="4">
        <v>0.76</v>
      </c>
      <c r="G4" s="4">
        <v>3.1</v>
      </c>
      <c r="H4" s="4">
        <f t="shared" si="0"/>
        <v>4.4744645862196002</v>
      </c>
      <c r="I4" s="4">
        <v>6</v>
      </c>
      <c r="J4" s="4">
        <v>18</v>
      </c>
      <c r="K4" s="4">
        <f t="shared" si="1"/>
        <v>13.132800000000001</v>
      </c>
      <c r="L4" s="4">
        <v>1</v>
      </c>
      <c r="M4" s="4">
        <v>40</v>
      </c>
      <c r="N4" s="4">
        <f t="shared" si="2"/>
        <v>2.8636573351805441</v>
      </c>
      <c r="O4" s="4">
        <f t="shared" si="3"/>
        <v>0.71591433379513603</v>
      </c>
      <c r="P4" s="5" t="s">
        <v>32</v>
      </c>
    </row>
    <row r="5" spans="1:16" ht="15" thickBot="1" x14ac:dyDescent="0.35">
      <c r="A5" s="9"/>
      <c r="B5" s="3" t="s">
        <v>11</v>
      </c>
      <c r="C5" s="3" t="s">
        <v>15</v>
      </c>
      <c r="D5" s="4">
        <v>20</v>
      </c>
      <c r="E5" s="4">
        <v>0.96</v>
      </c>
      <c r="F5" s="4">
        <v>0.76</v>
      </c>
      <c r="G5" s="4">
        <v>3.1</v>
      </c>
      <c r="H5" s="4">
        <f t="shared" si="0"/>
        <v>4.4744645862196002</v>
      </c>
      <c r="I5" s="4">
        <v>6</v>
      </c>
      <c r="J5" s="4">
        <v>18</v>
      </c>
      <c r="K5" s="4">
        <f t="shared" si="1"/>
        <v>13.132800000000001</v>
      </c>
      <c r="L5" s="4">
        <v>1</v>
      </c>
      <c r="M5" s="4">
        <v>40</v>
      </c>
      <c r="N5" s="4">
        <f t="shared" si="2"/>
        <v>3.5795716689756802</v>
      </c>
      <c r="O5" s="4">
        <f>N5/400*100</f>
        <v>0.89489291724392017</v>
      </c>
      <c r="P5" s="5" t="s">
        <v>32</v>
      </c>
    </row>
    <row r="6" spans="1:16" ht="15" thickBot="1" x14ac:dyDescent="0.35">
      <c r="A6" s="10"/>
      <c r="B6" s="3" t="s">
        <v>11</v>
      </c>
      <c r="C6" s="3" t="s">
        <v>24</v>
      </c>
      <c r="D6" s="4">
        <v>24</v>
      </c>
      <c r="E6" s="4">
        <v>0.96</v>
      </c>
      <c r="F6" s="4">
        <v>0.76</v>
      </c>
      <c r="G6" s="4">
        <v>16.14</v>
      </c>
      <c r="H6" s="4">
        <f t="shared" si="0"/>
        <v>23.296083361801401</v>
      </c>
      <c r="I6" s="4">
        <v>25</v>
      </c>
      <c r="J6" s="4">
        <v>42</v>
      </c>
      <c r="K6" s="4">
        <f t="shared" si="1"/>
        <v>30.6432</v>
      </c>
      <c r="L6" s="4">
        <v>4</v>
      </c>
      <c r="M6" s="4">
        <v>10</v>
      </c>
      <c r="N6" s="4">
        <f t="shared" si="2"/>
        <v>5.5910600068323362</v>
      </c>
      <c r="O6" s="4">
        <f t="shared" si="3"/>
        <v>1.397765001708084</v>
      </c>
      <c r="P6" s="5" t="s">
        <v>33</v>
      </c>
    </row>
    <row r="7" spans="1:16" ht="25.2" customHeight="1" thickBot="1" x14ac:dyDescent="0.35">
      <c r="A7" s="13" t="s">
        <v>26</v>
      </c>
      <c r="B7" s="3" t="s">
        <v>11</v>
      </c>
      <c r="C7" s="3" t="s">
        <v>13</v>
      </c>
      <c r="D7" s="4">
        <v>12</v>
      </c>
      <c r="E7" s="4">
        <v>0.96</v>
      </c>
      <c r="F7" s="4">
        <v>0.81</v>
      </c>
      <c r="G7" s="4">
        <v>10.86</v>
      </c>
      <c r="H7" s="4">
        <f t="shared" si="0"/>
        <v>15.675059808498339</v>
      </c>
      <c r="I7" s="4">
        <v>20</v>
      </c>
      <c r="J7" s="4">
        <v>32</v>
      </c>
      <c r="K7" s="4">
        <f t="shared" si="1"/>
        <v>24.883200000000002</v>
      </c>
      <c r="L7" s="4">
        <v>2.5</v>
      </c>
      <c r="M7" s="4">
        <v>16</v>
      </c>
      <c r="N7" s="4">
        <f t="shared" si="2"/>
        <v>3.0096114832316814</v>
      </c>
      <c r="O7" s="4">
        <f t="shared" si="3"/>
        <v>0.75240287080792034</v>
      </c>
      <c r="P7" s="5" t="s">
        <v>31</v>
      </c>
    </row>
    <row r="8" spans="1:16" ht="25.2" customHeight="1" thickBot="1" x14ac:dyDescent="0.35">
      <c r="A8" s="9"/>
      <c r="B8" s="3" t="s">
        <v>11</v>
      </c>
      <c r="C8" s="3" t="s">
        <v>14</v>
      </c>
      <c r="D8" s="4">
        <v>16</v>
      </c>
      <c r="E8" s="4">
        <v>0.96</v>
      </c>
      <c r="F8" s="4">
        <v>0.81</v>
      </c>
      <c r="G8" s="4">
        <v>10.86</v>
      </c>
      <c r="H8" s="4">
        <f t="shared" si="0"/>
        <v>15.675059808498339</v>
      </c>
      <c r="I8" s="4">
        <v>20</v>
      </c>
      <c r="J8" s="4">
        <v>32</v>
      </c>
      <c r="K8" s="4">
        <f t="shared" si="1"/>
        <v>24.883200000000002</v>
      </c>
      <c r="L8" s="4">
        <v>2.5</v>
      </c>
      <c r="M8" s="4">
        <v>16</v>
      </c>
      <c r="N8" s="4">
        <f t="shared" si="2"/>
        <v>4.0128153109755749</v>
      </c>
      <c r="O8" s="4">
        <f t="shared" si="3"/>
        <v>1.0032038277438937</v>
      </c>
      <c r="P8" s="5" t="s">
        <v>31</v>
      </c>
    </row>
    <row r="9" spans="1:16" ht="53.4" customHeight="1" thickBot="1" x14ac:dyDescent="0.35">
      <c r="A9" s="9"/>
      <c r="B9" s="3" t="s">
        <v>11</v>
      </c>
      <c r="C9" s="3" t="s">
        <v>15</v>
      </c>
      <c r="D9" s="4">
        <v>20</v>
      </c>
      <c r="E9" s="4">
        <v>0.96</v>
      </c>
      <c r="F9" s="4">
        <v>0.81</v>
      </c>
      <c r="G9" s="4">
        <v>10.86</v>
      </c>
      <c r="H9" s="4">
        <f t="shared" si="0"/>
        <v>15.675059808498339</v>
      </c>
      <c r="I9" s="4">
        <v>20</v>
      </c>
      <c r="J9" s="4">
        <v>42</v>
      </c>
      <c r="K9" s="4">
        <f t="shared" si="1"/>
        <v>32.659200000000006</v>
      </c>
      <c r="L9" s="4">
        <v>4</v>
      </c>
      <c r="M9" s="4">
        <v>10</v>
      </c>
      <c r="N9" s="4">
        <f t="shared" si="2"/>
        <v>3.1350119616996674</v>
      </c>
      <c r="O9" s="4">
        <f t="shared" si="3"/>
        <v>0.78375299042491675</v>
      </c>
      <c r="P9" s="5" t="s">
        <v>33</v>
      </c>
    </row>
    <row r="10" spans="1:16" ht="15" thickBot="1" x14ac:dyDescent="0.35">
      <c r="A10" s="11" t="s">
        <v>35</v>
      </c>
      <c r="B10" s="6" t="s">
        <v>12</v>
      </c>
      <c r="C10" s="6" t="s">
        <v>34</v>
      </c>
      <c r="D10" s="7">
        <v>6</v>
      </c>
      <c r="E10" s="7">
        <v>0.96</v>
      </c>
      <c r="F10" s="7">
        <v>0.87</v>
      </c>
      <c r="G10" s="7">
        <v>6.1</v>
      </c>
      <c r="H10" s="7">
        <f t="shared" si="0"/>
        <v>8.804591605141793</v>
      </c>
      <c r="I10" s="7">
        <v>20</v>
      </c>
      <c r="J10" s="7">
        <v>26</v>
      </c>
      <c r="K10" s="7">
        <f t="shared" si="1"/>
        <v>21.715199999999999</v>
      </c>
      <c r="L10" s="7">
        <v>2.5</v>
      </c>
      <c r="M10" s="7">
        <v>16</v>
      </c>
      <c r="N10" s="7">
        <f t="shared" si="2"/>
        <v>0.84524079409361208</v>
      </c>
      <c r="O10" s="7">
        <f t="shared" si="3"/>
        <v>0.21131019852340302</v>
      </c>
      <c r="P10" s="15" t="s">
        <v>49</v>
      </c>
    </row>
    <row r="11" spans="1:16" ht="15" thickBot="1" x14ac:dyDescent="0.35">
      <c r="A11" s="12"/>
      <c r="B11" s="6" t="s">
        <v>12</v>
      </c>
      <c r="C11" s="6" t="s">
        <v>36</v>
      </c>
      <c r="D11" s="7">
        <v>4</v>
      </c>
      <c r="E11" s="7">
        <v>0.96</v>
      </c>
      <c r="F11" s="7">
        <v>0.87</v>
      </c>
      <c r="G11" s="7">
        <v>3.91</v>
      </c>
      <c r="H11" s="7">
        <f t="shared" si="0"/>
        <v>5.6435988813285922</v>
      </c>
      <c r="I11" s="7">
        <v>20</v>
      </c>
      <c r="J11" s="7">
        <v>26</v>
      </c>
      <c r="K11" s="7">
        <f t="shared" si="1"/>
        <v>21.715199999999999</v>
      </c>
      <c r="L11" s="7">
        <v>2.5</v>
      </c>
      <c r="M11" s="7">
        <v>12</v>
      </c>
      <c r="N11" s="7">
        <f t="shared" si="2"/>
        <v>0.27089274630377241</v>
      </c>
      <c r="O11" s="7">
        <f t="shared" si="3"/>
        <v>6.7723186575943103E-2</v>
      </c>
      <c r="P11" s="15" t="s">
        <v>49</v>
      </c>
    </row>
    <row r="12" spans="1:16" ht="25.2" customHeight="1" thickBot="1" x14ac:dyDescent="0.35">
      <c r="A12" s="12"/>
      <c r="B12" s="6" t="s">
        <v>12</v>
      </c>
      <c r="C12" s="6" t="s">
        <v>16</v>
      </c>
      <c r="D12" s="7">
        <v>8</v>
      </c>
      <c r="E12" s="7">
        <v>0.96</v>
      </c>
      <c r="F12" s="7">
        <v>1</v>
      </c>
      <c r="G12" s="7">
        <v>1.67</v>
      </c>
      <c r="H12" s="7">
        <f t="shared" si="0"/>
        <v>2.4104373738666878</v>
      </c>
      <c r="I12" s="7">
        <v>6</v>
      </c>
      <c r="J12" s="7">
        <v>18</v>
      </c>
      <c r="K12" s="7">
        <f t="shared" si="1"/>
        <v>17.28</v>
      </c>
      <c r="L12" s="7">
        <v>1</v>
      </c>
      <c r="M12" s="7">
        <v>40</v>
      </c>
      <c r="N12" s="7">
        <f t="shared" si="2"/>
        <v>0.77133995963734014</v>
      </c>
      <c r="O12" s="7">
        <f t="shared" si="3"/>
        <v>0.19283498990933504</v>
      </c>
      <c r="P12" s="15" t="s">
        <v>37</v>
      </c>
    </row>
    <row r="13" spans="1:16" ht="52.8" customHeight="1" thickBot="1" x14ac:dyDescent="0.35">
      <c r="A13" s="12"/>
      <c r="B13" s="6" t="s">
        <v>12</v>
      </c>
      <c r="C13" s="6" t="s">
        <v>17</v>
      </c>
      <c r="D13" s="7">
        <v>8</v>
      </c>
      <c r="E13" s="7">
        <v>0.96</v>
      </c>
      <c r="F13" s="7">
        <v>1</v>
      </c>
      <c r="G13" s="7">
        <v>1.67</v>
      </c>
      <c r="H13" s="7">
        <f t="shared" si="0"/>
        <v>2.4104373738666878</v>
      </c>
      <c r="I13" s="7">
        <v>6</v>
      </c>
      <c r="J13" s="7">
        <v>18</v>
      </c>
      <c r="K13" s="7">
        <f t="shared" si="1"/>
        <v>17.28</v>
      </c>
      <c r="L13" s="7">
        <v>1</v>
      </c>
      <c r="M13" s="7">
        <v>40</v>
      </c>
      <c r="N13" s="7">
        <f t="shared" si="2"/>
        <v>0.77133995963734014</v>
      </c>
      <c r="O13" s="7">
        <f t="shared" si="3"/>
        <v>0.19283498990933504</v>
      </c>
      <c r="P13" s="15" t="s">
        <v>37</v>
      </c>
    </row>
    <row r="14" spans="1:16" ht="24.6" customHeight="1" thickBot="1" x14ac:dyDescent="0.35">
      <c r="A14" s="13" t="s">
        <v>18</v>
      </c>
      <c r="B14" s="3" t="s">
        <v>38</v>
      </c>
      <c r="C14" s="3" t="s">
        <v>19</v>
      </c>
      <c r="D14" s="4">
        <v>3</v>
      </c>
      <c r="E14" s="4">
        <v>0.94</v>
      </c>
      <c r="F14" s="4">
        <v>0.8</v>
      </c>
      <c r="G14" s="4">
        <v>6.8520000000000003</v>
      </c>
      <c r="H14" s="7">
        <f t="shared" si="0"/>
        <v>9.8900101112182899</v>
      </c>
      <c r="I14" s="4">
        <v>20</v>
      </c>
      <c r="J14" s="4">
        <v>26</v>
      </c>
      <c r="K14" s="4">
        <f t="shared" si="1"/>
        <v>19.552</v>
      </c>
      <c r="L14" s="4">
        <v>2.5</v>
      </c>
      <c r="M14" s="4">
        <v>16</v>
      </c>
      <c r="N14" s="4">
        <f t="shared" si="2"/>
        <v>0.47472048533847794</v>
      </c>
      <c r="O14" s="7">
        <f t="shared" si="3"/>
        <v>0.11868012133461948</v>
      </c>
      <c r="P14" s="5" t="s">
        <v>47</v>
      </c>
    </row>
    <row r="15" spans="1:16" ht="15" thickBot="1" x14ac:dyDescent="0.35">
      <c r="A15" s="9"/>
      <c r="B15" s="3" t="s">
        <v>38</v>
      </c>
      <c r="C15" s="3" t="s">
        <v>20</v>
      </c>
      <c r="D15" s="4">
        <v>2</v>
      </c>
      <c r="E15" s="4">
        <v>0.94</v>
      </c>
      <c r="F15" s="4">
        <v>0.8</v>
      </c>
      <c r="G15" s="4">
        <v>7.1920000000000002</v>
      </c>
      <c r="H15" s="7">
        <f t="shared" si="0"/>
        <v>10.380757840029471</v>
      </c>
      <c r="I15" s="4">
        <v>20</v>
      </c>
      <c r="J15" s="4">
        <v>26</v>
      </c>
      <c r="K15" s="4">
        <f t="shared" si="1"/>
        <v>19.552</v>
      </c>
      <c r="L15" s="4">
        <v>2.5</v>
      </c>
      <c r="M15" s="4">
        <v>16</v>
      </c>
      <c r="N15" s="4">
        <f t="shared" si="2"/>
        <v>0.33218425088094305</v>
      </c>
      <c r="O15" s="7">
        <f t="shared" si="3"/>
        <v>8.3046062720235764E-2</v>
      </c>
      <c r="P15" s="5" t="s">
        <v>47</v>
      </c>
    </row>
    <row r="16" spans="1:16" ht="15" thickBot="1" x14ac:dyDescent="0.35">
      <c r="A16" s="9"/>
      <c r="B16" s="3" t="s">
        <v>39</v>
      </c>
      <c r="C16" s="3" t="s">
        <v>19</v>
      </c>
      <c r="D16" s="4">
        <v>3</v>
      </c>
      <c r="E16" s="4">
        <v>0.94</v>
      </c>
      <c r="F16" s="4">
        <v>0.8</v>
      </c>
      <c r="G16" s="4">
        <v>1.554</v>
      </c>
      <c r="H16" s="4">
        <f t="shared" ref="H16:H18" si="4">(G16*1000)/(230)</f>
        <v>6.7565217391304344</v>
      </c>
      <c r="I16" s="4">
        <v>10</v>
      </c>
      <c r="J16" s="4">
        <v>22</v>
      </c>
      <c r="K16" s="4">
        <f t="shared" si="1"/>
        <v>16.544</v>
      </c>
      <c r="L16" s="4">
        <v>1.5</v>
      </c>
      <c r="M16" s="4">
        <v>31</v>
      </c>
      <c r="N16" s="4">
        <f t="shared" si="2"/>
        <v>0.62835652173913037</v>
      </c>
      <c r="O16" s="7">
        <f t="shared" si="3"/>
        <v>0.15708913043478259</v>
      </c>
      <c r="P16" s="5" t="s">
        <v>48</v>
      </c>
    </row>
    <row r="17" spans="1:16" ht="15" thickBot="1" x14ac:dyDescent="0.35">
      <c r="A17" s="9"/>
      <c r="B17" s="3" t="s">
        <v>40</v>
      </c>
      <c r="C17" s="3" t="s">
        <v>20</v>
      </c>
      <c r="D17" s="4">
        <v>2</v>
      </c>
      <c r="E17" s="4">
        <v>0.94</v>
      </c>
      <c r="F17" s="4">
        <v>0.8</v>
      </c>
      <c r="G17" s="4">
        <v>1.554</v>
      </c>
      <c r="H17" s="4">
        <f t="shared" si="4"/>
        <v>6.7565217391304344</v>
      </c>
      <c r="I17" s="4">
        <v>10</v>
      </c>
      <c r="J17" s="4">
        <v>22</v>
      </c>
      <c r="K17" s="4">
        <f t="shared" si="1"/>
        <v>16.544</v>
      </c>
      <c r="L17" s="4">
        <v>1.5</v>
      </c>
      <c r="M17" s="4">
        <v>31</v>
      </c>
      <c r="N17" s="4">
        <f t="shared" si="2"/>
        <v>0.41890434782608693</v>
      </c>
      <c r="O17" s="7">
        <f t="shared" si="3"/>
        <v>0.10472608695652173</v>
      </c>
      <c r="P17" s="5" t="s">
        <v>48</v>
      </c>
    </row>
    <row r="18" spans="1:16" ht="15" thickBot="1" x14ac:dyDescent="0.35">
      <c r="A18" s="9"/>
      <c r="B18" s="16" t="s">
        <v>13</v>
      </c>
      <c r="C18" s="16" t="s">
        <v>41</v>
      </c>
      <c r="D18" s="7">
        <v>4</v>
      </c>
      <c r="E18" s="7">
        <v>0.94</v>
      </c>
      <c r="F18" s="7">
        <v>1</v>
      </c>
      <c r="G18" s="7">
        <v>0.17599999999999999</v>
      </c>
      <c r="H18" s="7">
        <f t="shared" si="4"/>
        <v>0.76521739130434785</v>
      </c>
      <c r="I18" s="7">
        <v>6</v>
      </c>
      <c r="J18" s="7">
        <v>14.5</v>
      </c>
      <c r="K18" s="7">
        <f t="shared" si="1"/>
        <v>13.629999999999999</v>
      </c>
      <c r="L18" s="7">
        <v>1</v>
      </c>
      <c r="M18" s="7">
        <v>46</v>
      </c>
      <c r="N18" s="7">
        <f t="shared" si="2"/>
        <v>0.14080000000000001</v>
      </c>
      <c r="O18" s="7">
        <f t="shared" si="3"/>
        <v>3.5200000000000002E-2</v>
      </c>
      <c r="P18" s="15" t="s">
        <v>48</v>
      </c>
    </row>
    <row r="19" spans="1:16" ht="31.2" customHeight="1" thickBot="1" x14ac:dyDescent="0.35">
      <c r="A19" s="13" t="s">
        <v>21</v>
      </c>
      <c r="B19" s="3" t="s">
        <v>24</v>
      </c>
      <c r="C19" s="3" t="s">
        <v>22</v>
      </c>
      <c r="D19" s="4">
        <v>8</v>
      </c>
      <c r="E19" s="4">
        <v>0.94</v>
      </c>
      <c r="F19" s="4">
        <v>0.7</v>
      </c>
      <c r="G19" s="4">
        <v>4.4400000000000004</v>
      </c>
      <c r="H19" s="4">
        <f t="shared" ref="H19:H21" si="5">(G19*1000)/(SQRT(3)*400)</f>
        <v>6.4085879880048457</v>
      </c>
      <c r="I19" s="4">
        <v>10</v>
      </c>
      <c r="J19" s="4">
        <v>19.5</v>
      </c>
      <c r="K19" s="4">
        <f t="shared" si="1"/>
        <v>12.830999999999998</v>
      </c>
      <c r="L19" s="4">
        <v>1.5</v>
      </c>
      <c r="M19" s="4">
        <v>27</v>
      </c>
      <c r="N19" s="4">
        <f t="shared" si="2"/>
        <v>1.3842550054090466</v>
      </c>
      <c r="O19" s="4">
        <f t="shared" si="3"/>
        <v>0.34606375135226164</v>
      </c>
      <c r="P19" s="5" t="s">
        <v>44</v>
      </c>
    </row>
    <row r="20" spans="1:16" ht="15" thickBot="1" x14ac:dyDescent="0.35">
      <c r="A20" s="9"/>
      <c r="B20" s="3" t="s">
        <v>24</v>
      </c>
      <c r="C20" s="3" t="s">
        <v>23</v>
      </c>
      <c r="D20" s="4">
        <v>6</v>
      </c>
      <c r="E20" s="4">
        <v>0.94</v>
      </c>
      <c r="F20" s="4">
        <v>0.7</v>
      </c>
      <c r="G20" s="4">
        <v>3</v>
      </c>
      <c r="H20" s="4">
        <f t="shared" si="5"/>
        <v>4.3301270189221936</v>
      </c>
      <c r="I20" s="4">
        <v>10</v>
      </c>
      <c r="J20" s="4">
        <v>19.5</v>
      </c>
      <c r="K20" s="4">
        <f t="shared" si="1"/>
        <v>12.830999999999998</v>
      </c>
      <c r="L20" s="4">
        <v>1.5</v>
      </c>
      <c r="M20" s="4">
        <v>27</v>
      </c>
      <c r="N20" s="4">
        <f t="shared" si="2"/>
        <v>0.70148057706539546</v>
      </c>
      <c r="O20" s="4">
        <f t="shared" si="3"/>
        <v>0.17537014426634887</v>
      </c>
      <c r="P20" s="5" t="s">
        <v>44</v>
      </c>
    </row>
    <row r="21" spans="1:16" ht="15" thickBot="1" x14ac:dyDescent="0.35">
      <c r="A21" s="9"/>
      <c r="B21" s="3" t="s">
        <v>24</v>
      </c>
      <c r="C21" s="3" t="s">
        <v>42</v>
      </c>
      <c r="D21" s="4">
        <v>8</v>
      </c>
      <c r="E21" s="4">
        <v>0.94</v>
      </c>
      <c r="F21" s="4">
        <v>0.7</v>
      </c>
      <c r="G21" s="4">
        <v>6.6669999999999998</v>
      </c>
      <c r="H21" s="4">
        <f t="shared" si="5"/>
        <v>9.6229856117180876</v>
      </c>
      <c r="I21" s="4">
        <v>10</v>
      </c>
      <c r="J21" s="4">
        <v>19.5</v>
      </c>
      <c r="K21" s="4">
        <f t="shared" si="1"/>
        <v>12.830999999999998</v>
      </c>
      <c r="L21" s="4">
        <v>1.5</v>
      </c>
      <c r="M21" s="4">
        <v>27</v>
      </c>
      <c r="N21" s="4">
        <f t="shared" si="2"/>
        <v>2.0785648921311068</v>
      </c>
      <c r="O21" s="4">
        <f t="shared" si="3"/>
        <v>0.51964122303277671</v>
      </c>
      <c r="P21" s="5" t="s">
        <v>45</v>
      </c>
    </row>
    <row r="22" spans="1:16" ht="15" thickBot="1" x14ac:dyDescent="0.35">
      <c r="A22" s="14"/>
      <c r="B22" s="3" t="s">
        <v>24</v>
      </c>
      <c r="C22" s="3" t="s">
        <v>43</v>
      </c>
      <c r="D22" s="4">
        <v>4</v>
      </c>
      <c r="E22" s="4">
        <v>0.94</v>
      </c>
      <c r="F22" s="4">
        <v>1</v>
      </c>
      <c r="G22" s="4">
        <v>2.8090000000000002</v>
      </c>
      <c r="H22" s="4">
        <f>(G22*1000)/(230)</f>
        <v>12.21304347826087</v>
      </c>
      <c r="I22" s="4">
        <v>20</v>
      </c>
      <c r="J22" s="4">
        <v>25</v>
      </c>
      <c r="K22" s="4">
        <f t="shared" si="1"/>
        <v>23.5</v>
      </c>
      <c r="L22" s="4">
        <v>2.5</v>
      </c>
      <c r="M22" s="4">
        <v>19</v>
      </c>
      <c r="N22" s="4">
        <f t="shared" si="2"/>
        <v>0.92819130434782604</v>
      </c>
      <c r="O22" s="4">
        <f t="shared" si="3"/>
        <v>0.23204782608695651</v>
      </c>
      <c r="P22" s="5" t="s">
        <v>46</v>
      </c>
    </row>
  </sheetData>
  <mergeCells count="5">
    <mergeCell ref="A2:A6"/>
    <mergeCell ref="A10:A13"/>
    <mergeCell ref="A14:A18"/>
    <mergeCell ref="A19:A22"/>
    <mergeCell ref="A7:A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deelaka</dc:creator>
  <cp:lastModifiedBy>deelaka</cp:lastModifiedBy>
  <dcterms:created xsi:type="dcterms:W3CDTF">2026-05-25T07:06:50Z</dcterms:created>
  <dcterms:modified xsi:type="dcterms:W3CDTF">2026-05-26T08:30:36Z</dcterms:modified>
</cp:coreProperties>
</file>