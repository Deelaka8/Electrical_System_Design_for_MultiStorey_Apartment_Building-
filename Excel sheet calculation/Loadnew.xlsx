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gika\AppData\Local\Packages\5319275A.WhatsAppDesktop_cv1g1gvanyjgm\LocalState\sessions\D579950D50A67B5A4F96DDA378D9FF4C12FC28CC\transfers\2026-22\"/>
    </mc:Choice>
  </mc:AlternateContent>
  <xr:revisionPtr revIDLastSave="0" documentId="13_ncr:1_{C5F888A8-C808-449F-AD40-945632A78EF3}" xr6:coauthVersionLast="47" xr6:coauthVersionMax="47" xr10:uidLastSave="{00000000-0000-0000-0000-000000000000}"/>
  <bookViews>
    <workbookView xWindow="-108" yWindow="-108" windowWidth="23256" windowHeight="12576" firstSheet="3" activeTab="3" xr2:uid="{CCFE086C-F772-4F6C-A54B-F6DE37E27D0F}"/>
  </bookViews>
  <sheets>
    <sheet name="lighting calculation" sheetId="8" r:id="rId1"/>
    <sheet name="Lighting" sheetId="3" r:id="rId2"/>
    <sheet name="ground floor" sheetId="4" r:id="rId3"/>
    <sheet name="Roof floor" sheetId="5" r:id="rId4"/>
    <sheet name="Left aprtment" sheetId="6" r:id="rId5"/>
    <sheet name="right aparment" sheetId="7" r:id="rId6"/>
    <sheet name="Sheet2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6" l="1"/>
  <c r="H28" i="6"/>
  <c r="K23" i="6"/>
  <c r="K22" i="6"/>
  <c r="J6" i="7" l="1"/>
  <c r="J4" i="7"/>
  <c r="J6" i="6"/>
  <c r="J4" i="6"/>
  <c r="J5" i="7" l="1"/>
  <c r="G13" i="7"/>
  <c r="J13" i="7" s="1"/>
  <c r="J12" i="7"/>
  <c r="J11" i="7"/>
  <c r="J10" i="7"/>
  <c r="G9" i="7"/>
  <c r="J9" i="7" s="1"/>
  <c r="J8" i="7"/>
  <c r="J7" i="7"/>
  <c r="J3" i="7"/>
  <c r="J2" i="7"/>
  <c r="J3" i="6"/>
  <c r="J5" i="6"/>
  <c r="J7" i="6"/>
  <c r="J9" i="6"/>
  <c r="J10" i="6"/>
  <c r="J11" i="6"/>
  <c r="J13" i="6"/>
  <c r="J2" i="6"/>
  <c r="G14" i="6"/>
  <c r="J14" i="6" s="1"/>
  <c r="G12" i="6"/>
  <c r="J12" i="6" s="1"/>
  <c r="G8" i="6"/>
  <c r="J8" i="6" s="1"/>
  <c r="I4" i="5"/>
  <c r="I5" i="5"/>
  <c r="I6" i="5"/>
  <c r="I7" i="5"/>
  <c r="I8" i="5"/>
  <c r="I3" i="5"/>
  <c r="F10" i="5"/>
  <c r="I10" i="5" s="1"/>
  <c r="F4" i="5"/>
  <c r="F9" i="5"/>
  <c r="I9" i="5" s="1"/>
  <c r="F2" i="5"/>
  <c r="I2" i="5" s="1"/>
  <c r="H18" i="4"/>
  <c r="K18" i="4" s="1"/>
  <c r="K17" i="4"/>
  <c r="K16" i="4"/>
  <c r="K11" i="4"/>
  <c r="K12" i="4"/>
  <c r="K13" i="4"/>
  <c r="K14" i="4"/>
  <c r="K15" i="4"/>
  <c r="K10" i="4"/>
  <c r="H9" i="4"/>
  <c r="K9" i="4" s="1"/>
  <c r="K3" i="4"/>
  <c r="K4" i="4"/>
  <c r="K5" i="4"/>
  <c r="K6" i="4"/>
  <c r="K7" i="4"/>
  <c r="K8" i="4"/>
  <c r="K2" i="4"/>
  <c r="I11" i="5" l="1"/>
  <c r="K19" i="4"/>
  <c r="J15" i="6"/>
  <c r="J14" i="7"/>
</calcChain>
</file>

<file path=xl/sharedStrings.xml><?xml version="1.0" encoding="utf-8"?>
<sst xmlns="http://schemas.openxmlformats.org/spreadsheetml/2006/main" count="554" uniqueCount="218">
  <si>
    <t>MF</t>
  </si>
  <si>
    <t>UF</t>
  </si>
  <si>
    <t>Pantry</t>
  </si>
  <si>
    <t>Pump Room</t>
  </si>
  <si>
    <t>Floor</t>
  </si>
  <si>
    <t>Z</t>
  </si>
  <si>
    <t>Ground Floor</t>
  </si>
  <si>
    <t>Bed Room</t>
  </si>
  <si>
    <t>Toilet</t>
  </si>
  <si>
    <t>Driver's Room</t>
  </si>
  <si>
    <t>Care Taker Room</t>
  </si>
  <si>
    <t>Elect. Meters &amp; Panels</t>
  </si>
  <si>
    <t>Garbage Room</t>
  </si>
  <si>
    <t>GF Lobby &amp; Stairs</t>
  </si>
  <si>
    <t>Parking Area</t>
  </si>
  <si>
    <t>Sitting Areas</t>
  </si>
  <si>
    <t>Dining Areas</t>
  </si>
  <si>
    <t>Pantries</t>
  </si>
  <si>
    <t>Kitchen Yards</t>
  </si>
  <si>
    <t>Master Toilets 1(DW5)</t>
  </si>
  <si>
    <t>Typ. Lobby &amp; Stairs</t>
  </si>
  <si>
    <t>Roof Top</t>
  </si>
  <si>
    <t>Generator Room</t>
  </si>
  <si>
    <t>gym</t>
  </si>
  <si>
    <t>Changing Room &amp; Toilet</t>
  </si>
  <si>
    <t>Bar / BBQ Counter</t>
  </si>
  <si>
    <t>Roof Lobby &amp; Stairs</t>
  </si>
  <si>
    <t>Open Terrace</t>
  </si>
  <si>
    <t>Space</t>
  </si>
  <si>
    <t>Load</t>
  </si>
  <si>
    <t>No. of Units</t>
  </si>
  <si>
    <t>KW per Load</t>
  </si>
  <si>
    <t>Power Factor</t>
  </si>
  <si>
    <t xml:space="preserve">KVA </t>
  </si>
  <si>
    <t>Diversity Factor</t>
  </si>
  <si>
    <t>Utilization Factor</t>
  </si>
  <si>
    <t>Total KVA with Factors</t>
  </si>
  <si>
    <t>Design Current(A)</t>
  </si>
  <si>
    <t>AC</t>
  </si>
  <si>
    <t>Sockets</t>
  </si>
  <si>
    <t>Lighting</t>
  </si>
  <si>
    <t>Exhaust Fan</t>
  </si>
  <si>
    <t>Common</t>
  </si>
  <si>
    <t>Lobby</t>
  </si>
  <si>
    <t>Pump room</t>
  </si>
  <si>
    <t>Water Pumps</t>
  </si>
  <si>
    <t>Elect Meter Panel</t>
  </si>
  <si>
    <t xml:space="preserve">Drivers room </t>
  </si>
  <si>
    <t>Care Takers Room</t>
  </si>
  <si>
    <t>sockets</t>
  </si>
  <si>
    <t>Total KVA</t>
  </si>
  <si>
    <t>20% expansion</t>
  </si>
  <si>
    <t>Type of Light</t>
  </si>
  <si>
    <t>Power Per Lamp</t>
  </si>
  <si>
    <t>(W)</t>
  </si>
  <si>
    <t>Selected No. of Luminaries</t>
  </si>
  <si>
    <t>Ground floor</t>
  </si>
  <si>
    <t>CoreLine Slim Downlight 10s</t>
  </si>
  <si>
    <t>Dining and Living Room</t>
  </si>
  <si>
    <t>CoreLine Slim Downlight 20s</t>
  </si>
  <si>
    <t>CoreLine Downlight</t>
  </si>
  <si>
    <t>CoreLine Slim Downlight</t>
  </si>
  <si>
    <t>Showers Room</t>
  </si>
  <si>
    <t>Driver’s Toilet</t>
  </si>
  <si>
    <t>CoreLine Waterproof</t>
  </si>
  <si>
    <t>CoreLine Batten</t>
  </si>
  <si>
    <t>CoreLine Wall-Mounted</t>
  </si>
  <si>
    <t>Roof floor</t>
  </si>
  <si>
    <t>CoreLine Panel</t>
  </si>
  <si>
    <t>Ledinaire Floodlight</t>
  </si>
  <si>
    <t>corridor</t>
  </si>
  <si>
    <t>SmartBright Direct Panel (G2)</t>
  </si>
  <si>
    <t>pool deck</t>
  </si>
  <si>
    <t>Philips Wall-Mounted LED (Outdoor)</t>
  </si>
  <si>
    <t>pool</t>
  </si>
  <si>
    <t>Philips Ledinaire Underwater/Spot</t>
  </si>
  <si>
    <r>
      <t>1 to 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floor</t>
    </r>
  </si>
  <si>
    <t>Master Bedroom L</t>
  </si>
  <si>
    <t>CoreLine Slim Downlight LED10S</t>
  </si>
  <si>
    <t>Bed Room L</t>
  </si>
  <si>
    <t>CoreLine Slim Downlight LED20S</t>
  </si>
  <si>
    <t>(CoreLine Wall-Mounted</t>
  </si>
  <si>
    <t>Master Toilets</t>
  </si>
  <si>
    <t>CoreLine Downlight IP54 P16</t>
  </si>
  <si>
    <t>Master Balcony</t>
  </si>
  <si>
    <t>Balcony</t>
  </si>
  <si>
    <t>Master Bedroom R</t>
  </si>
  <si>
    <t>Bed Room 1R</t>
  </si>
  <si>
    <t>Bed Room 2R</t>
  </si>
  <si>
    <t>Toilets 1</t>
  </si>
  <si>
    <t>Toilets 2</t>
  </si>
  <si>
    <t>Sitting Areas R</t>
  </si>
  <si>
    <t>Master Balcony 1(DW5)</t>
  </si>
  <si>
    <t>Balcony 1</t>
  </si>
  <si>
    <t>Balcony 2</t>
  </si>
  <si>
    <t>CoreLine Downlight C P16</t>
  </si>
  <si>
    <t>Area</t>
  </si>
  <si>
    <t>Apartment</t>
  </si>
  <si>
    <t xml:space="preserve">Bedroom </t>
  </si>
  <si>
    <t xml:space="preserve">Dining Room </t>
  </si>
  <si>
    <t xml:space="preserve">Kitchen </t>
  </si>
  <si>
    <t>toilet</t>
  </si>
  <si>
    <t>lighting</t>
  </si>
  <si>
    <t>All</t>
  </si>
  <si>
    <t xml:space="preserve">all lighting in common </t>
  </si>
  <si>
    <t xml:space="preserve">lighting </t>
  </si>
  <si>
    <t>Parking Area and drive way</t>
  </si>
  <si>
    <t>4+6</t>
  </si>
  <si>
    <t>Kitchen Equipment</t>
  </si>
  <si>
    <t>Pool Equipment</t>
  </si>
  <si>
    <t>Lobby &amp; Stair</t>
  </si>
  <si>
    <t xml:space="preserve">Pool and pool deck </t>
  </si>
  <si>
    <t xml:space="preserve">Open terrance </t>
  </si>
  <si>
    <t xml:space="preserve">elevator </t>
  </si>
  <si>
    <t xml:space="preserve">motor </t>
  </si>
  <si>
    <t>roof floor</t>
  </si>
  <si>
    <t>Dining Room and sitting room</t>
  </si>
  <si>
    <t xml:space="preserve">master Bedroom </t>
  </si>
  <si>
    <t>Bedroom</t>
  </si>
  <si>
    <t xml:space="preserve">socket </t>
  </si>
  <si>
    <t>all</t>
  </si>
  <si>
    <t>Toilets</t>
  </si>
  <si>
    <t xml:space="preserve">Pantry &amp; kitchen yard </t>
  </si>
  <si>
    <t>Bedroom 1</t>
  </si>
  <si>
    <t>Bedroom 2</t>
  </si>
  <si>
    <t>Calculated Space</t>
  </si>
  <si>
    <t>Calculation (L×W)</t>
  </si>
  <si>
    <t>Area (m2)</t>
  </si>
  <si>
    <t>Lux Level (E)</t>
  </si>
  <si>
    <t>Lumen Output per Luminaire (Φ)</t>
  </si>
  <si>
    <t>Raw Calculated (Nraw​)</t>
  </si>
  <si>
    <t>Selected (Ndesign​)</t>
  </si>
  <si>
    <t>(4.50×3.525)+(1.8×2.225)</t>
  </si>
  <si>
    <t>5.668×2.9</t>
  </si>
  <si>
    <t>2.025×2.975</t>
  </si>
  <si>
    <t>2.225×1.700</t>
  </si>
  <si>
    <t>2.667×1.800</t>
  </si>
  <si>
    <t>2.50×1.725</t>
  </si>
  <si>
    <t>1.5×0.9</t>
  </si>
  <si>
    <t>Toilet Drivers</t>
  </si>
  <si>
    <t>4.914×2.0+1.8×0.3</t>
  </si>
  <si>
    <t>1.300×2.400</t>
  </si>
  <si>
    <t>(3.926×3.537)+(2.400×6.337)</t>
  </si>
  <si>
    <t>(2.40×4.80)×3</t>
  </si>
  <si>
    <t>3rd Floor Left</t>
  </si>
  <si>
    <t>Master Bedroom</t>
  </si>
  <si>
    <t>3.900×3.600</t>
  </si>
  <si>
    <t>3.900×3.300</t>
  </si>
  <si>
    <t>3.80×6.337</t>
  </si>
  <si>
    <t>3.80×2.025</t>
  </si>
  <si>
    <t>3.80×2.400</t>
  </si>
  <si>
    <t>3.80×1.500</t>
  </si>
  <si>
    <t>2.70×1.50</t>
  </si>
  <si>
    <t>3.900×1.500</t>
  </si>
  <si>
    <t>3.90×1.00</t>
  </si>
  <si>
    <t>3rd Floor Right</t>
  </si>
  <si>
    <t>Master Bedroom 1(DW5)</t>
  </si>
  <si>
    <t>(3.900×3.285)+(1.475×2.700)</t>
  </si>
  <si>
    <t>Master Bed Room 2(DW4)</t>
  </si>
  <si>
    <t>3.348×3.000</t>
  </si>
  <si>
    <t>Master Bed Room 3(DW3)</t>
  </si>
  <si>
    <t>3.382×3.833</t>
  </si>
  <si>
    <t>2.700×1.400</t>
  </si>
  <si>
    <t>Master Toilets 2(DW4)</t>
  </si>
  <si>
    <t>2.700×1.500</t>
  </si>
  <si>
    <t>Master Toilets 3(DW2)</t>
  </si>
  <si>
    <t>4.005×6.337</t>
  </si>
  <si>
    <t>3.631×2.025</t>
  </si>
  <si>
    <t>4.200×2.400</t>
  </si>
  <si>
    <t>4.200×1.500</t>
  </si>
  <si>
    <t>Master Balcony 2(DW4)</t>
  </si>
  <si>
    <t>3.000×1.500</t>
  </si>
  <si>
    <t>Master Balcony 3(DW2)</t>
  </si>
  <si>
    <t>3.833×1.00</t>
  </si>
  <si>
    <t>6.337×2.400</t>
  </si>
  <si>
    <t>2.50×3.300</t>
  </si>
  <si>
    <t>4.10×3.338</t>
  </si>
  <si>
    <t>1.50×0.900</t>
  </si>
  <si>
    <t>3.113×2.039</t>
  </si>
  <si>
    <t>2.400×6.337</t>
  </si>
  <si>
    <t>7.325×6.337</t>
  </si>
  <si>
    <t>Circuit</t>
  </si>
  <si>
    <t xml:space="preserve">Total Design Current </t>
  </si>
  <si>
    <t>MCB Rating</t>
  </si>
  <si>
    <t>Main Breaker (MCCB)</t>
  </si>
  <si>
    <t>Left Appartment</t>
  </si>
  <si>
    <t>C1</t>
  </si>
  <si>
    <t>Master bedroom + Balcony + Bathroom</t>
  </si>
  <si>
    <t>10/1p</t>
  </si>
  <si>
    <t>16/3p</t>
  </si>
  <si>
    <t>C2</t>
  </si>
  <si>
    <t xml:space="preserve">Socket Outlet </t>
  </si>
  <si>
    <t>16/1p</t>
  </si>
  <si>
    <t>C3</t>
  </si>
  <si>
    <t>6/1p</t>
  </si>
  <si>
    <t>C4</t>
  </si>
  <si>
    <t>Bedroom 1 + Balcony + Bathroom</t>
  </si>
  <si>
    <t>C5</t>
  </si>
  <si>
    <t>C6</t>
  </si>
  <si>
    <t>C7</t>
  </si>
  <si>
    <t>C8</t>
  </si>
  <si>
    <t>Dinning &amp; Sitting+balcony</t>
  </si>
  <si>
    <t>C9</t>
  </si>
  <si>
    <t>C10</t>
  </si>
  <si>
    <t>C11</t>
  </si>
  <si>
    <t>C12</t>
  </si>
  <si>
    <t>Exhaust</t>
  </si>
  <si>
    <t>Demand (KVA/Current)</t>
  </si>
  <si>
    <t>With 20% Future expansion</t>
  </si>
  <si>
    <t>Right Appartment</t>
  </si>
  <si>
    <t>20/3p</t>
  </si>
  <si>
    <t>Dinning &amp; Sitting</t>
  </si>
  <si>
    <t>C13</t>
  </si>
  <si>
    <t>C14</t>
  </si>
  <si>
    <t>C15</t>
  </si>
  <si>
    <t>Other</t>
  </si>
  <si>
    <t xml:space="preserve">Lobby + Staircase </t>
  </si>
  <si>
    <t xml:space="preserve">Bedroom 1 + Balcony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</si>
</sst>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u val="double"/>
      <sz val="11"/>
      <color rgb="FF000000"/>
      <name val="Arial"/>
      <family val="2"/>
    </font>
    <font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u val="double"/>
      <sz val="12"/>
      <color rgb="FF000000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B4E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4" fillId="2" borderId="6" xfId="0" applyFont="1" applyFill="1" applyBorder="1" applyAlignment="1">
      <alignment vertical="center" textRotation="90"/>
    </xf>
    <xf numFmtId="0" fontId="4" fillId="2" borderId="7" xfId="0" applyFont="1" applyFill="1" applyBorder="1" applyAlignment="1">
      <alignment vertical="center" textRotation="90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3" fillId="0" borderId="0" xfId="0" applyFont="1"/>
    <xf numFmtId="0" fontId="4" fillId="2" borderId="9" xfId="0" applyFont="1" applyFill="1" applyBorder="1" applyAlignment="1">
      <alignment horizontal="center" vertical="center" textRotation="90"/>
    </xf>
    <xf numFmtId="0" fontId="4" fillId="2" borderId="11" xfId="0" applyFont="1" applyFill="1" applyBorder="1" applyAlignment="1">
      <alignment horizontal="center" vertical="center" textRotation="90"/>
    </xf>
    <xf numFmtId="0" fontId="7" fillId="3" borderId="1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0" borderId="0" xfId="0" applyFont="1" applyAlignment="1">
      <alignment vertical="center" textRotation="90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6" borderId="0" xfId="0" applyFill="1"/>
    <xf numFmtId="0" fontId="4" fillId="0" borderId="0" xfId="0" applyFont="1" applyAlignment="1">
      <alignment horizontal="right" vertical="center"/>
    </xf>
    <xf numFmtId="0" fontId="4" fillId="6" borderId="6" xfId="0" applyFont="1" applyFill="1" applyBorder="1" applyAlignment="1">
      <alignment vertical="center" textRotation="90"/>
    </xf>
    <xf numFmtId="0" fontId="4" fillId="7" borderId="8" xfId="0" applyFont="1" applyFill="1" applyBorder="1" applyAlignment="1">
      <alignment horizontal="right" vertical="center"/>
    </xf>
    <xf numFmtId="0" fontId="5" fillId="7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wrapText="1"/>
    </xf>
    <xf numFmtId="0" fontId="12" fillId="5" borderId="2" xfId="0" applyFont="1" applyFill="1" applyBorder="1" applyAlignment="1">
      <alignment vertical="center"/>
    </xf>
    <xf numFmtId="0" fontId="12" fillId="0" borderId="2" xfId="0" applyFont="1" applyBorder="1" applyAlignment="1">
      <alignment wrapText="1"/>
    </xf>
    <xf numFmtId="0" fontId="12" fillId="0" borderId="2" xfId="0" applyFont="1" applyBorder="1" applyAlignment="1">
      <alignment horizontal="right" wrapText="1"/>
    </xf>
    <xf numFmtId="0" fontId="12" fillId="0" borderId="19" xfId="0" applyFont="1" applyBorder="1" applyAlignment="1">
      <alignment horizontal="right" wrapText="1"/>
    </xf>
    <xf numFmtId="0" fontId="12" fillId="0" borderId="21" xfId="0" applyFont="1" applyBorder="1" applyAlignment="1">
      <alignment horizontal="right" wrapText="1"/>
    </xf>
    <xf numFmtId="0" fontId="12" fillId="5" borderId="3" xfId="0" applyFont="1" applyFill="1" applyBorder="1" applyAlignment="1">
      <alignment wrapText="1"/>
    </xf>
    <xf numFmtId="0" fontId="12" fillId="0" borderId="5" xfId="0" applyFont="1" applyBorder="1" applyAlignment="1">
      <alignment horizontal="right" wrapText="1"/>
    </xf>
    <xf numFmtId="0" fontId="12" fillId="0" borderId="2" xfId="0" applyFont="1" applyBorder="1" applyAlignment="1">
      <alignment vertical="center" wrapText="1"/>
    </xf>
    <xf numFmtId="0" fontId="0" fillId="0" borderId="22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 textRotation="90"/>
    </xf>
    <xf numFmtId="0" fontId="4" fillId="4" borderId="29" xfId="0" applyFont="1" applyFill="1" applyBorder="1" applyAlignment="1">
      <alignment horizontal="center" vertical="center" textRotation="90"/>
    </xf>
    <xf numFmtId="164" fontId="4" fillId="4" borderId="29" xfId="0" applyNumberFormat="1" applyFont="1" applyFill="1" applyBorder="1" applyAlignment="1">
      <alignment horizontal="center" vertical="center" textRotation="90"/>
    </xf>
    <xf numFmtId="2" fontId="4" fillId="4" borderId="29" xfId="0" applyNumberFormat="1" applyFont="1" applyFill="1" applyBorder="1" applyAlignment="1">
      <alignment horizontal="center" vertical="center" textRotation="90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0" fillId="0" borderId="31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36" xfId="0" applyNumberFormat="1" applyBorder="1"/>
    <xf numFmtId="2" fontId="0" fillId="0" borderId="36" xfId="0" applyNumberFormat="1" applyBorder="1"/>
    <xf numFmtId="165" fontId="0" fillId="0" borderId="24" xfId="0" applyNumberFormat="1" applyBorder="1"/>
    <xf numFmtId="165" fontId="0" fillId="0" borderId="28" xfId="0" applyNumberFormat="1" applyBorder="1"/>
    <xf numFmtId="165" fontId="0" fillId="0" borderId="37" xfId="0" applyNumberFormat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5" fontId="0" fillId="0" borderId="4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9" fillId="4" borderId="41" xfId="0" applyNumberFormat="1" applyFont="1" applyFill="1" applyBorder="1" applyAlignment="1">
      <alignment horizontal="center" vertical="center" textRotation="90"/>
    </xf>
    <xf numFmtId="2" fontId="9" fillId="4" borderId="42" xfId="0" applyNumberFormat="1" applyFont="1" applyFill="1" applyBorder="1" applyAlignment="1">
      <alignment horizontal="center" vertical="center" textRotation="90"/>
    </xf>
    <xf numFmtId="0" fontId="0" fillId="0" borderId="2" xfId="0" applyBorder="1"/>
    <xf numFmtId="165" fontId="9" fillId="4" borderId="31" xfId="0" applyNumberFormat="1" applyFont="1" applyFill="1" applyBorder="1" applyAlignment="1">
      <alignment vertical="center" textRotation="90"/>
    </xf>
    <xf numFmtId="165" fontId="0" fillId="0" borderId="43" xfId="0" applyNumberFormat="1" applyBorder="1"/>
    <xf numFmtId="165" fontId="0" fillId="0" borderId="19" xfId="0" applyNumberFormat="1" applyBorder="1"/>
    <xf numFmtId="165" fontId="0" fillId="0" borderId="44" xfId="0" applyNumberFormat="1" applyBorder="1"/>
    <xf numFmtId="2" fontId="9" fillId="4" borderId="45" xfId="0" applyNumberFormat="1" applyFont="1" applyFill="1" applyBorder="1" applyAlignment="1">
      <alignment horizontal="center" vertical="center" textRotation="90"/>
    </xf>
    <xf numFmtId="165" fontId="0" fillId="0" borderId="46" xfId="0" applyNumberFormat="1" applyBorder="1"/>
    <xf numFmtId="165" fontId="0" fillId="0" borderId="47" xfId="0" applyNumberFormat="1" applyBorder="1"/>
    <xf numFmtId="2" fontId="0" fillId="0" borderId="32" xfId="0" applyNumberForma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2" fontId="0" fillId="0" borderId="14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9" fillId="7" borderId="0" xfId="0" applyFont="1" applyFill="1" applyAlignment="1">
      <alignment vertical="center" textRotation="90"/>
    </xf>
    <xf numFmtId="0" fontId="9" fillId="7" borderId="2" xfId="0" applyFont="1" applyFill="1" applyBorder="1" applyAlignment="1">
      <alignment vertical="center" textRotation="90"/>
    </xf>
    <xf numFmtId="0" fontId="1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/>
    <xf numFmtId="0" fontId="4" fillId="2" borderId="11" xfId="0" applyFont="1" applyFill="1" applyBorder="1" applyAlignment="1">
      <alignment horizontal="center" vertical="center" textRotation="90"/>
    </xf>
    <xf numFmtId="0" fontId="4" fillId="2" borderId="9" xfId="0" applyFont="1" applyFill="1" applyBorder="1" applyAlignment="1">
      <alignment horizontal="center" vertical="center" textRotation="90"/>
    </xf>
    <xf numFmtId="0" fontId="4" fillId="2" borderId="17" xfId="0" applyFont="1" applyFill="1" applyBorder="1" applyAlignment="1">
      <alignment horizontal="center" vertical="center" textRotation="90"/>
    </xf>
    <xf numFmtId="0" fontId="4" fillId="2" borderId="8" xfId="0" applyFont="1" applyFill="1" applyBorder="1" applyAlignment="1">
      <alignment horizontal="center" vertical="center" textRotation="90"/>
    </xf>
    <xf numFmtId="0" fontId="4" fillId="2" borderId="15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2" borderId="11" xfId="0" applyFont="1" applyFill="1" applyBorder="1" applyAlignment="1">
      <alignment vertical="center" textRotation="90"/>
    </xf>
    <xf numFmtId="0" fontId="9" fillId="2" borderId="9" xfId="0" applyFont="1" applyFill="1" applyBorder="1" applyAlignment="1">
      <alignment vertical="center" textRotation="9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25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0" fillId="0" borderId="51" xfId="0" applyBorder="1" applyAlignment="1">
      <alignment horizontal="center" vertical="center" textRotation="90"/>
    </xf>
    <xf numFmtId="0" fontId="0" fillId="0" borderId="52" xfId="0" applyBorder="1" applyAlignment="1">
      <alignment horizontal="center" vertical="center" textRotation="90"/>
    </xf>
    <xf numFmtId="0" fontId="0" fillId="0" borderId="53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8" borderId="6" xfId="0" applyFont="1" applyFill="1" applyBorder="1" applyAlignment="1">
      <alignment vertical="center" textRotation="90"/>
    </xf>
    <xf numFmtId="0" fontId="9" fillId="8" borderId="7" xfId="0" applyFont="1" applyFill="1" applyBorder="1" applyAlignment="1">
      <alignment vertical="center" textRotation="90"/>
    </xf>
    <xf numFmtId="0" fontId="9" fillId="8" borderId="18" xfId="0" applyFont="1" applyFill="1" applyBorder="1" applyAlignment="1">
      <alignment vertical="center" textRotation="90"/>
    </xf>
    <xf numFmtId="0" fontId="9" fillId="8" borderId="19" xfId="0" applyFont="1" applyFill="1" applyBorder="1" applyAlignment="1">
      <alignment vertical="center" textRotation="90"/>
    </xf>
    <xf numFmtId="0" fontId="9" fillId="9" borderId="11" xfId="0" applyFont="1" applyFill="1" applyBorder="1" applyAlignment="1">
      <alignment vertical="center" textRotation="90"/>
    </xf>
    <xf numFmtId="0" fontId="9" fillId="9" borderId="8" xfId="0" applyFont="1" applyFill="1" applyBorder="1" applyAlignment="1">
      <alignment vertical="center" textRotation="90"/>
    </xf>
    <xf numFmtId="0" fontId="7" fillId="10" borderId="6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B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8871-ED47-4BBE-9775-9491A58B7439}">
  <dimension ref="A1:K43"/>
  <sheetViews>
    <sheetView topLeftCell="A33" workbookViewId="0">
      <selection activeCell="G3" sqref="G3"/>
    </sheetView>
  </sheetViews>
  <sheetFormatPr defaultRowHeight="14.4" x14ac:dyDescent="0.3"/>
  <cols>
    <col min="11" max="11" width="19.21875" customWidth="1"/>
  </cols>
  <sheetData>
    <row r="1" spans="1:11" ht="66.599999999999994" x14ac:dyDescent="0.3">
      <c r="A1" s="43" t="s">
        <v>4</v>
      </c>
      <c r="B1" s="43" t="s">
        <v>125</v>
      </c>
      <c r="C1" s="43" t="s">
        <v>126</v>
      </c>
      <c r="D1" s="43" t="s">
        <v>127</v>
      </c>
      <c r="E1" s="49" t="s">
        <v>128</v>
      </c>
      <c r="F1" s="43" t="s">
        <v>129</v>
      </c>
      <c r="G1" s="43" t="s">
        <v>5</v>
      </c>
      <c r="H1" s="43" t="s">
        <v>1</v>
      </c>
      <c r="I1" s="43" t="s">
        <v>0</v>
      </c>
      <c r="J1" s="43" t="s">
        <v>130</v>
      </c>
      <c r="K1" s="44" t="s">
        <v>131</v>
      </c>
    </row>
    <row r="2" spans="1:11" ht="40.200000000000003" x14ac:dyDescent="0.3">
      <c r="A2" s="43" t="s">
        <v>6</v>
      </c>
      <c r="B2" s="45" t="s">
        <v>7</v>
      </c>
      <c r="C2" s="45" t="s">
        <v>132</v>
      </c>
      <c r="D2" s="47">
        <v>19.87</v>
      </c>
      <c r="E2" s="51">
        <v>100</v>
      </c>
      <c r="F2" s="48">
        <v>1100</v>
      </c>
      <c r="G2" s="46">
        <v>1</v>
      </c>
      <c r="H2" s="46">
        <v>0.6</v>
      </c>
      <c r="I2" s="46">
        <v>0.8</v>
      </c>
      <c r="J2" s="46">
        <v>3.76</v>
      </c>
      <c r="K2" s="46">
        <v>4</v>
      </c>
    </row>
    <row r="3" spans="1:11" ht="53.4" x14ac:dyDescent="0.3">
      <c r="A3" s="43" t="s">
        <v>6</v>
      </c>
      <c r="B3" s="45" t="s">
        <v>58</v>
      </c>
      <c r="C3" s="45" t="s">
        <v>133</v>
      </c>
      <c r="D3" s="47">
        <v>16.440000000000001</v>
      </c>
      <c r="E3" s="51">
        <v>200</v>
      </c>
      <c r="F3" s="48">
        <v>2100</v>
      </c>
      <c r="G3" s="46">
        <v>1</v>
      </c>
      <c r="H3" s="46">
        <v>0.6</v>
      </c>
      <c r="I3" s="46">
        <v>0.8</v>
      </c>
      <c r="J3" s="46">
        <v>2.4500000000000002</v>
      </c>
      <c r="K3" s="46">
        <v>3</v>
      </c>
    </row>
    <row r="4" spans="1:11" ht="27" x14ac:dyDescent="0.3">
      <c r="A4" s="43" t="s">
        <v>6</v>
      </c>
      <c r="B4" s="45" t="s">
        <v>2</v>
      </c>
      <c r="C4" s="45" t="s">
        <v>134</v>
      </c>
      <c r="D4" s="47">
        <v>6.02</v>
      </c>
      <c r="E4" s="51">
        <v>250</v>
      </c>
      <c r="F4" s="48">
        <v>1100</v>
      </c>
      <c r="G4" s="46">
        <v>1</v>
      </c>
      <c r="H4" s="46">
        <v>0.6</v>
      </c>
      <c r="I4" s="46">
        <v>0.8</v>
      </c>
      <c r="J4" s="46">
        <v>1.71</v>
      </c>
      <c r="K4" s="46">
        <v>2</v>
      </c>
    </row>
    <row r="5" spans="1:11" ht="27" x14ac:dyDescent="0.3">
      <c r="A5" s="43" t="s">
        <v>6</v>
      </c>
      <c r="B5" s="45" t="s">
        <v>8</v>
      </c>
      <c r="C5" s="45" t="s">
        <v>135</v>
      </c>
      <c r="D5" s="47">
        <v>3.78</v>
      </c>
      <c r="E5" s="51">
        <v>150</v>
      </c>
      <c r="F5" s="48">
        <v>1100</v>
      </c>
      <c r="G5" s="46">
        <v>1</v>
      </c>
      <c r="H5" s="46">
        <v>0.6</v>
      </c>
      <c r="I5" s="46">
        <v>0.8</v>
      </c>
      <c r="J5" s="46">
        <v>1.07</v>
      </c>
      <c r="K5" s="46">
        <v>2</v>
      </c>
    </row>
    <row r="6" spans="1:11" ht="27" x14ac:dyDescent="0.3">
      <c r="A6" s="43" t="s">
        <v>6</v>
      </c>
      <c r="B6" s="45" t="s">
        <v>9</v>
      </c>
      <c r="C6" s="45" t="s">
        <v>136</v>
      </c>
      <c r="D6" s="47">
        <v>4.8</v>
      </c>
      <c r="E6" s="51">
        <v>200</v>
      </c>
      <c r="F6" s="48">
        <v>1100</v>
      </c>
      <c r="G6" s="46">
        <v>1</v>
      </c>
      <c r="H6" s="46">
        <v>0.6</v>
      </c>
      <c r="I6" s="46">
        <v>0.8</v>
      </c>
      <c r="J6" s="46">
        <v>0.91</v>
      </c>
      <c r="K6" s="46">
        <v>1</v>
      </c>
    </row>
    <row r="7" spans="1:11" ht="40.200000000000003" x14ac:dyDescent="0.3">
      <c r="A7" s="43" t="s">
        <v>6</v>
      </c>
      <c r="B7" s="45" t="s">
        <v>10</v>
      </c>
      <c r="C7" s="45" t="s">
        <v>137</v>
      </c>
      <c r="D7" s="47">
        <v>4.3099999999999996</v>
      </c>
      <c r="E7" s="51">
        <v>150</v>
      </c>
      <c r="F7" s="48">
        <v>1100</v>
      </c>
      <c r="G7" s="46">
        <v>1</v>
      </c>
      <c r="H7" s="46">
        <v>0.6</v>
      </c>
      <c r="I7" s="46">
        <v>0.8</v>
      </c>
      <c r="J7" s="46">
        <v>0.82</v>
      </c>
      <c r="K7" s="46">
        <v>1</v>
      </c>
    </row>
    <row r="8" spans="1:11" ht="27" x14ac:dyDescent="0.3">
      <c r="A8" s="43" t="s">
        <v>6</v>
      </c>
      <c r="B8" s="45" t="s">
        <v>62</v>
      </c>
      <c r="C8" s="45" t="s">
        <v>138</v>
      </c>
      <c r="D8" s="47">
        <v>1.35</v>
      </c>
      <c r="E8" s="51">
        <v>150</v>
      </c>
      <c r="F8" s="48">
        <v>1100</v>
      </c>
      <c r="G8" s="46">
        <v>1</v>
      </c>
      <c r="H8" s="46">
        <v>0.6</v>
      </c>
      <c r="I8" s="46">
        <v>0.8</v>
      </c>
      <c r="J8" s="46">
        <v>0.38</v>
      </c>
      <c r="K8" s="46">
        <v>1</v>
      </c>
    </row>
    <row r="9" spans="1:11" ht="27" x14ac:dyDescent="0.3">
      <c r="A9" s="43" t="s">
        <v>6</v>
      </c>
      <c r="B9" s="45" t="s">
        <v>139</v>
      </c>
      <c r="C9" s="45" t="s">
        <v>138</v>
      </c>
      <c r="D9" s="47">
        <v>1.35</v>
      </c>
      <c r="E9" s="51">
        <v>150</v>
      </c>
      <c r="F9" s="48">
        <v>1100</v>
      </c>
      <c r="G9" s="46">
        <v>1</v>
      </c>
      <c r="H9" s="46">
        <v>0.6</v>
      </c>
      <c r="I9" s="46">
        <v>0.8</v>
      </c>
      <c r="J9" s="46">
        <v>0.38</v>
      </c>
      <c r="K9" s="46">
        <v>1</v>
      </c>
    </row>
    <row r="10" spans="1:11" ht="40.200000000000003" x14ac:dyDescent="0.3">
      <c r="A10" s="43" t="s">
        <v>6</v>
      </c>
      <c r="B10" s="45" t="s">
        <v>3</v>
      </c>
      <c r="C10" s="45" t="s">
        <v>140</v>
      </c>
      <c r="D10" s="47">
        <v>10.37</v>
      </c>
      <c r="E10" s="51">
        <v>150</v>
      </c>
      <c r="F10" s="48">
        <v>4000</v>
      </c>
      <c r="G10" s="46">
        <v>1</v>
      </c>
      <c r="H10" s="46">
        <v>0.6</v>
      </c>
      <c r="I10" s="46">
        <v>0.8</v>
      </c>
      <c r="J10" s="46">
        <v>0.81</v>
      </c>
      <c r="K10" s="46">
        <v>1</v>
      </c>
    </row>
    <row r="11" spans="1:11" ht="40.200000000000003" x14ac:dyDescent="0.3">
      <c r="A11" s="43" t="s">
        <v>6</v>
      </c>
      <c r="B11" s="45" t="s">
        <v>11</v>
      </c>
      <c r="C11" s="45" t="s">
        <v>141</v>
      </c>
      <c r="D11" s="47">
        <v>3.12</v>
      </c>
      <c r="E11" s="51">
        <v>200</v>
      </c>
      <c r="F11" s="48">
        <v>2500</v>
      </c>
      <c r="G11" s="46">
        <v>1</v>
      </c>
      <c r="H11" s="46">
        <v>0.6</v>
      </c>
      <c r="I11" s="46">
        <v>0.8</v>
      </c>
      <c r="J11" s="46">
        <v>0.39</v>
      </c>
      <c r="K11" s="46">
        <v>1</v>
      </c>
    </row>
    <row r="12" spans="1:11" ht="27" x14ac:dyDescent="0.3">
      <c r="A12" s="43" t="s">
        <v>6</v>
      </c>
      <c r="B12" s="45" t="s">
        <v>12</v>
      </c>
      <c r="C12" s="45" t="s">
        <v>141</v>
      </c>
      <c r="D12" s="47">
        <v>3.12</v>
      </c>
      <c r="E12" s="51">
        <v>100</v>
      </c>
      <c r="F12" s="48">
        <v>1350</v>
      </c>
      <c r="G12" s="46">
        <v>1</v>
      </c>
      <c r="H12" s="46">
        <v>0.6</v>
      </c>
      <c r="I12" s="46">
        <v>0.8</v>
      </c>
      <c r="J12" s="46">
        <v>0.48</v>
      </c>
      <c r="K12" s="46">
        <v>1</v>
      </c>
    </row>
    <row r="13" spans="1:11" ht="53.4" x14ac:dyDescent="0.3">
      <c r="A13" s="43" t="s">
        <v>6</v>
      </c>
      <c r="B13" s="45" t="s">
        <v>13</v>
      </c>
      <c r="C13" s="45" t="s">
        <v>142</v>
      </c>
      <c r="D13" s="47">
        <v>29.1</v>
      </c>
      <c r="E13" s="51">
        <v>150</v>
      </c>
      <c r="F13" s="48">
        <v>2200</v>
      </c>
      <c r="G13" s="46">
        <v>1</v>
      </c>
      <c r="H13" s="46">
        <v>0.6</v>
      </c>
      <c r="I13" s="46">
        <v>0.8</v>
      </c>
      <c r="J13" s="46">
        <v>4.13</v>
      </c>
      <c r="K13" s="46">
        <v>4</v>
      </c>
    </row>
    <row r="14" spans="1:11" ht="27" x14ac:dyDescent="0.3">
      <c r="A14" s="43" t="s">
        <v>6</v>
      </c>
      <c r="B14" s="45" t="s">
        <v>14</v>
      </c>
      <c r="C14" s="45" t="s">
        <v>143</v>
      </c>
      <c r="D14" s="47">
        <v>34.56</v>
      </c>
      <c r="E14" s="51">
        <v>100</v>
      </c>
      <c r="F14" s="48">
        <v>4000</v>
      </c>
      <c r="G14" s="46">
        <v>1</v>
      </c>
      <c r="H14" s="46">
        <v>0.6</v>
      </c>
      <c r="I14" s="46">
        <v>0.8</v>
      </c>
      <c r="J14" s="46">
        <v>1.8</v>
      </c>
      <c r="K14" s="46">
        <v>2</v>
      </c>
    </row>
    <row r="15" spans="1:11" ht="27" x14ac:dyDescent="0.3">
      <c r="A15" s="43" t="s">
        <v>144</v>
      </c>
      <c r="B15" s="45" t="s">
        <v>145</v>
      </c>
      <c r="C15" s="45" t="s">
        <v>146</v>
      </c>
      <c r="D15" s="46">
        <v>14.04</v>
      </c>
      <c r="E15" s="50">
        <v>100</v>
      </c>
      <c r="F15" s="46">
        <v>1100</v>
      </c>
      <c r="G15" s="46">
        <v>1</v>
      </c>
      <c r="H15" s="46">
        <v>0.6</v>
      </c>
      <c r="I15" s="46">
        <v>0.8</v>
      </c>
      <c r="J15" s="46">
        <v>2.66</v>
      </c>
      <c r="K15" s="46">
        <v>4</v>
      </c>
    </row>
    <row r="16" spans="1:11" ht="27" x14ac:dyDescent="0.3">
      <c r="A16" s="43" t="s">
        <v>144</v>
      </c>
      <c r="B16" s="45" t="s">
        <v>7</v>
      </c>
      <c r="C16" s="45" t="s">
        <v>147</v>
      </c>
      <c r="D16" s="46">
        <v>12.87</v>
      </c>
      <c r="E16" s="46">
        <v>100</v>
      </c>
      <c r="F16" s="46">
        <v>1100</v>
      </c>
      <c r="G16" s="46">
        <v>1</v>
      </c>
      <c r="H16" s="46">
        <v>0.6</v>
      </c>
      <c r="I16" s="46">
        <v>0.8</v>
      </c>
      <c r="J16" s="46">
        <v>2.44</v>
      </c>
      <c r="K16" s="46">
        <v>4</v>
      </c>
    </row>
    <row r="17" spans="1:11" ht="27" x14ac:dyDescent="0.3">
      <c r="A17" s="43" t="s">
        <v>144</v>
      </c>
      <c r="B17" s="45" t="s">
        <v>15</v>
      </c>
      <c r="C17" s="45" t="s">
        <v>148</v>
      </c>
      <c r="D17" s="46">
        <v>24.08</v>
      </c>
      <c r="E17" s="46">
        <v>150</v>
      </c>
      <c r="F17" s="46">
        <v>2100</v>
      </c>
      <c r="G17" s="46">
        <v>1</v>
      </c>
      <c r="H17" s="46">
        <v>0.6</v>
      </c>
      <c r="I17" s="46">
        <v>0.8</v>
      </c>
      <c r="J17" s="46">
        <v>3.58</v>
      </c>
      <c r="K17" s="46">
        <v>4</v>
      </c>
    </row>
    <row r="18" spans="1:11" ht="27" x14ac:dyDescent="0.3">
      <c r="A18" s="43" t="s">
        <v>144</v>
      </c>
      <c r="B18" s="45" t="s">
        <v>16</v>
      </c>
      <c r="C18" s="45" t="s">
        <v>149</v>
      </c>
      <c r="D18" s="46">
        <v>7.7</v>
      </c>
      <c r="E18" s="46">
        <v>150</v>
      </c>
      <c r="F18" s="46">
        <v>1100</v>
      </c>
      <c r="G18" s="46">
        <v>1</v>
      </c>
      <c r="H18" s="46">
        <v>0.6</v>
      </c>
      <c r="I18" s="46">
        <v>0.8</v>
      </c>
      <c r="J18" s="46">
        <v>2.19</v>
      </c>
      <c r="K18" s="46">
        <v>2</v>
      </c>
    </row>
    <row r="19" spans="1:11" ht="27" x14ac:dyDescent="0.3">
      <c r="A19" s="43" t="s">
        <v>144</v>
      </c>
      <c r="B19" s="45" t="s">
        <v>17</v>
      </c>
      <c r="C19" s="45" t="s">
        <v>150</v>
      </c>
      <c r="D19" s="46">
        <v>9.1199999999999992</v>
      </c>
      <c r="E19" s="46">
        <v>150</v>
      </c>
      <c r="F19" s="46">
        <v>1100</v>
      </c>
      <c r="G19" s="46">
        <v>1</v>
      </c>
      <c r="H19" s="46">
        <v>0.6</v>
      </c>
      <c r="I19" s="46">
        <v>0.8</v>
      </c>
      <c r="J19" s="46">
        <v>2.59</v>
      </c>
      <c r="K19" s="46">
        <v>4</v>
      </c>
    </row>
    <row r="20" spans="1:11" ht="27" x14ac:dyDescent="0.3">
      <c r="A20" s="43" t="s">
        <v>144</v>
      </c>
      <c r="B20" s="45" t="s">
        <v>18</v>
      </c>
      <c r="C20" s="45" t="s">
        <v>151</v>
      </c>
      <c r="D20" s="46">
        <v>5.7</v>
      </c>
      <c r="E20" s="46">
        <v>100</v>
      </c>
      <c r="F20" s="46">
        <v>1350</v>
      </c>
      <c r="G20" s="46">
        <v>1</v>
      </c>
      <c r="H20" s="46">
        <v>0.6</v>
      </c>
      <c r="I20" s="46">
        <v>0.8</v>
      </c>
      <c r="J20" s="46">
        <v>0.88</v>
      </c>
      <c r="K20" s="46">
        <v>1</v>
      </c>
    </row>
    <row r="21" spans="1:11" ht="27" x14ac:dyDescent="0.3">
      <c r="A21" s="43" t="s">
        <v>144</v>
      </c>
      <c r="B21" s="45" t="s">
        <v>82</v>
      </c>
      <c r="C21" s="45" t="s">
        <v>152</v>
      </c>
      <c r="D21" s="46">
        <v>4.05</v>
      </c>
      <c r="E21" s="46">
        <v>150</v>
      </c>
      <c r="F21" s="46">
        <v>1100</v>
      </c>
      <c r="G21" s="46">
        <v>1</v>
      </c>
      <c r="H21" s="46">
        <v>0.6</v>
      </c>
      <c r="I21" s="46">
        <v>0.8</v>
      </c>
      <c r="J21" s="46">
        <v>1.1499999999999999</v>
      </c>
      <c r="K21" s="46">
        <v>2</v>
      </c>
    </row>
    <row r="22" spans="1:11" ht="27" x14ac:dyDescent="0.3">
      <c r="A22" s="43" t="s">
        <v>144</v>
      </c>
      <c r="B22" s="45" t="s">
        <v>84</v>
      </c>
      <c r="C22" s="45" t="s">
        <v>153</v>
      </c>
      <c r="D22" s="46">
        <v>5.85</v>
      </c>
      <c r="E22" s="46">
        <v>100</v>
      </c>
      <c r="F22" s="46">
        <v>1350</v>
      </c>
      <c r="G22" s="46">
        <v>1</v>
      </c>
      <c r="H22" s="46">
        <v>0.6</v>
      </c>
      <c r="I22" s="46">
        <v>0.8</v>
      </c>
      <c r="J22" s="46">
        <v>0.9</v>
      </c>
      <c r="K22" s="46">
        <v>1</v>
      </c>
    </row>
    <row r="23" spans="1:11" ht="27" x14ac:dyDescent="0.3">
      <c r="A23" s="43" t="s">
        <v>144</v>
      </c>
      <c r="B23" s="45" t="s">
        <v>85</v>
      </c>
      <c r="C23" s="45" t="s">
        <v>154</v>
      </c>
      <c r="D23" s="46">
        <v>3.9</v>
      </c>
      <c r="E23" s="46">
        <v>100</v>
      </c>
      <c r="F23" s="46">
        <v>1350</v>
      </c>
      <c r="G23" s="46">
        <v>1</v>
      </c>
      <c r="H23" s="46">
        <v>0.6</v>
      </c>
      <c r="I23" s="46">
        <v>0.8</v>
      </c>
      <c r="J23" s="46">
        <v>0.6</v>
      </c>
      <c r="K23" s="46">
        <v>1</v>
      </c>
    </row>
    <row r="24" spans="1:11" ht="53.4" x14ac:dyDescent="0.3">
      <c r="A24" s="43" t="s">
        <v>155</v>
      </c>
      <c r="B24" s="45" t="s">
        <v>156</v>
      </c>
      <c r="C24" s="45" t="s">
        <v>157</v>
      </c>
      <c r="D24" s="46">
        <v>16.79</v>
      </c>
      <c r="E24" s="46">
        <v>100</v>
      </c>
      <c r="F24" s="46">
        <v>1100</v>
      </c>
      <c r="G24" s="46">
        <v>1</v>
      </c>
      <c r="H24" s="46">
        <v>0.6</v>
      </c>
      <c r="I24" s="46">
        <v>0.8</v>
      </c>
      <c r="J24" s="46">
        <v>3.18</v>
      </c>
      <c r="K24" s="46">
        <v>4</v>
      </c>
    </row>
    <row r="25" spans="1:11" ht="53.4" x14ac:dyDescent="0.3">
      <c r="A25" s="43" t="s">
        <v>155</v>
      </c>
      <c r="B25" s="45" t="s">
        <v>158</v>
      </c>
      <c r="C25" s="45" t="s">
        <v>159</v>
      </c>
      <c r="D25" s="46">
        <v>10.039999999999999</v>
      </c>
      <c r="E25" s="46">
        <v>100</v>
      </c>
      <c r="F25" s="46">
        <v>1100</v>
      </c>
      <c r="G25" s="46">
        <v>1</v>
      </c>
      <c r="H25" s="46">
        <v>0.6</v>
      </c>
      <c r="I25" s="46">
        <v>0.8</v>
      </c>
      <c r="J25" s="46">
        <v>1.9</v>
      </c>
      <c r="K25" s="46">
        <v>2</v>
      </c>
    </row>
    <row r="26" spans="1:11" ht="53.4" x14ac:dyDescent="0.3">
      <c r="A26" s="43" t="s">
        <v>155</v>
      </c>
      <c r="B26" s="45" t="s">
        <v>160</v>
      </c>
      <c r="C26" s="45" t="s">
        <v>161</v>
      </c>
      <c r="D26" s="46">
        <v>12.96</v>
      </c>
      <c r="E26" s="46">
        <v>100</v>
      </c>
      <c r="F26" s="46">
        <v>1100</v>
      </c>
      <c r="G26" s="46">
        <v>1</v>
      </c>
      <c r="H26" s="46">
        <v>0.6</v>
      </c>
      <c r="I26" s="46">
        <v>0.8</v>
      </c>
      <c r="J26" s="46">
        <v>2.46</v>
      </c>
      <c r="K26" s="46">
        <v>4</v>
      </c>
    </row>
    <row r="27" spans="1:11" ht="40.200000000000003" x14ac:dyDescent="0.3">
      <c r="A27" s="43" t="s">
        <v>155</v>
      </c>
      <c r="B27" s="45" t="s">
        <v>19</v>
      </c>
      <c r="C27" s="45" t="s">
        <v>162</v>
      </c>
      <c r="D27" s="46">
        <v>3.78</v>
      </c>
      <c r="E27" s="46">
        <v>150</v>
      </c>
      <c r="F27" s="46">
        <v>1100</v>
      </c>
      <c r="G27" s="46">
        <v>1</v>
      </c>
      <c r="H27" s="46">
        <v>0.6</v>
      </c>
      <c r="I27" s="46">
        <v>0.8</v>
      </c>
      <c r="J27" s="46">
        <v>1.07</v>
      </c>
      <c r="K27" s="46">
        <v>2</v>
      </c>
    </row>
    <row r="28" spans="1:11" ht="40.200000000000003" x14ac:dyDescent="0.3">
      <c r="A28" s="43" t="s">
        <v>155</v>
      </c>
      <c r="B28" s="45" t="s">
        <v>163</v>
      </c>
      <c r="C28" s="45" t="s">
        <v>164</v>
      </c>
      <c r="D28" s="46">
        <v>4.05</v>
      </c>
      <c r="E28" s="46">
        <v>150</v>
      </c>
      <c r="F28" s="46">
        <v>1100</v>
      </c>
      <c r="G28" s="46">
        <v>1</v>
      </c>
      <c r="H28" s="46">
        <v>0.6</v>
      </c>
      <c r="I28" s="46">
        <v>0.8</v>
      </c>
      <c r="J28" s="46">
        <v>1.1499999999999999</v>
      </c>
      <c r="K28" s="46">
        <v>2</v>
      </c>
    </row>
    <row r="29" spans="1:11" ht="40.200000000000003" x14ac:dyDescent="0.3">
      <c r="A29" s="43" t="s">
        <v>155</v>
      </c>
      <c r="B29" s="45" t="s">
        <v>165</v>
      </c>
      <c r="C29" s="45" t="s">
        <v>162</v>
      </c>
      <c r="D29" s="46">
        <v>3.78</v>
      </c>
      <c r="E29" s="46">
        <v>150</v>
      </c>
      <c r="F29" s="46">
        <v>1100</v>
      </c>
      <c r="G29" s="46">
        <v>1</v>
      </c>
      <c r="H29" s="46">
        <v>0.6</v>
      </c>
      <c r="I29" s="46">
        <v>0.8</v>
      </c>
      <c r="J29" s="46">
        <v>1.07</v>
      </c>
      <c r="K29" s="46">
        <v>2</v>
      </c>
    </row>
    <row r="30" spans="1:11" ht="27" x14ac:dyDescent="0.3">
      <c r="A30" s="43" t="s">
        <v>155</v>
      </c>
      <c r="B30" s="45" t="s">
        <v>15</v>
      </c>
      <c r="C30" s="45" t="s">
        <v>166</v>
      </c>
      <c r="D30" s="46">
        <v>25.38</v>
      </c>
      <c r="E30" s="46">
        <v>150</v>
      </c>
      <c r="F30" s="46">
        <v>2100</v>
      </c>
      <c r="G30" s="46">
        <v>1</v>
      </c>
      <c r="H30" s="46">
        <v>0.6</v>
      </c>
      <c r="I30" s="46">
        <v>0.8</v>
      </c>
      <c r="J30" s="46">
        <v>3.78</v>
      </c>
      <c r="K30" s="46">
        <v>4</v>
      </c>
    </row>
    <row r="31" spans="1:11" ht="27" x14ac:dyDescent="0.3">
      <c r="A31" s="43" t="s">
        <v>155</v>
      </c>
      <c r="B31" s="45" t="s">
        <v>16</v>
      </c>
      <c r="C31" s="45" t="s">
        <v>167</v>
      </c>
      <c r="D31" s="46">
        <v>7.35</v>
      </c>
      <c r="E31" s="46">
        <v>150</v>
      </c>
      <c r="F31" s="46">
        <v>1100</v>
      </c>
      <c r="G31" s="46">
        <v>1</v>
      </c>
      <c r="H31" s="46">
        <v>0.6</v>
      </c>
      <c r="I31" s="46">
        <v>0.8</v>
      </c>
      <c r="J31" s="46">
        <v>2.09</v>
      </c>
      <c r="K31" s="46">
        <v>2</v>
      </c>
    </row>
    <row r="32" spans="1:11" ht="27" x14ac:dyDescent="0.3">
      <c r="A32" s="43" t="s">
        <v>155</v>
      </c>
      <c r="B32" s="45" t="s">
        <v>17</v>
      </c>
      <c r="C32" s="45" t="s">
        <v>168</v>
      </c>
      <c r="D32" s="46">
        <v>10.08</v>
      </c>
      <c r="E32" s="46">
        <v>150</v>
      </c>
      <c r="F32" s="46">
        <v>1100</v>
      </c>
      <c r="G32" s="46">
        <v>1</v>
      </c>
      <c r="H32" s="46">
        <v>0.6</v>
      </c>
      <c r="I32" s="46">
        <v>0.8</v>
      </c>
      <c r="J32" s="46">
        <v>2.86</v>
      </c>
      <c r="K32" s="46">
        <v>4</v>
      </c>
    </row>
    <row r="33" spans="1:11" ht="27" x14ac:dyDescent="0.3">
      <c r="A33" s="43" t="s">
        <v>155</v>
      </c>
      <c r="B33" s="45" t="s">
        <v>18</v>
      </c>
      <c r="C33" s="45" t="s">
        <v>169</v>
      </c>
      <c r="D33" s="46">
        <v>6.3</v>
      </c>
      <c r="E33" s="46">
        <v>100</v>
      </c>
      <c r="F33" s="46">
        <v>1350</v>
      </c>
      <c r="G33" s="46">
        <v>1</v>
      </c>
      <c r="H33" s="46">
        <v>0.6</v>
      </c>
      <c r="I33" s="46">
        <v>0.8</v>
      </c>
      <c r="J33" s="46">
        <v>0.97</v>
      </c>
      <c r="K33" s="46">
        <v>1</v>
      </c>
    </row>
    <row r="34" spans="1:11" ht="40.200000000000003" x14ac:dyDescent="0.3">
      <c r="A34" s="43" t="s">
        <v>155</v>
      </c>
      <c r="B34" s="45" t="s">
        <v>92</v>
      </c>
      <c r="C34" s="45" t="s">
        <v>153</v>
      </c>
      <c r="D34" s="46">
        <v>5.85</v>
      </c>
      <c r="E34" s="46">
        <v>100</v>
      </c>
      <c r="F34" s="46">
        <v>1350</v>
      </c>
      <c r="G34" s="46">
        <v>1</v>
      </c>
      <c r="H34" s="46">
        <v>0.6</v>
      </c>
      <c r="I34" s="46">
        <v>0.8</v>
      </c>
      <c r="J34" s="46">
        <v>0.9</v>
      </c>
      <c r="K34" s="46">
        <v>1</v>
      </c>
    </row>
    <row r="35" spans="1:11" ht="40.200000000000003" x14ac:dyDescent="0.3">
      <c r="A35" s="43" t="s">
        <v>155</v>
      </c>
      <c r="B35" s="45" t="s">
        <v>170</v>
      </c>
      <c r="C35" s="45" t="s">
        <v>171</v>
      </c>
      <c r="D35" s="46">
        <v>4.5</v>
      </c>
      <c r="E35" s="46">
        <v>100</v>
      </c>
      <c r="F35" s="46">
        <v>1350</v>
      </c>
      <c r="G35" s="46">
        <v>1</v>
      </c>
      <c r="H35" s="46">
        <v>0.6</v>
      </c>
      <c r="I35" s="46">
        <v>0.8</v>
      </c>
      <c r="J35" s="46">
        <v>0.69</v>
      </c>
      <c r="K35" s="46">
        <v>1</v>
      </c>
    </row>
    <row r="36" spans="1:11" ht="40.200000000000003" x14ac:dyDescent="0.3">
      <c r="A36" s="43" t="s">
        <v>155</v>
      </c>
      <c r="B36" s="45" t="s">
        <v>172</v>
      </c>
      <c r="C36" s="45" t="s">
        <v>173</v>
      </c>
      <c r="D36" s="46">
        <v>3.83</v>
      </c>
      <c r="E36" s="46">
        <v>100</v>
      </c>
      <c r="F36" s="46">
        <v>1350</v>
      </c>
      <c r="G36" s="46">
        <v>1</v>
      </c>
      <c r="H36" s="46">
        <v>0.6</v>
      </c>
      <c r="I36" s="46">
        <v>0.8</v>
      </c>
      <c r="J36" s="46">
        <v>0.59</v>
      </c>
      <c r="K36" s="46">
        <v>1</v>
      </c>
    </row>
    <row r="37" spans="1:11" ht="40.200000000000003" x14ac:dyDescent="0.3">
      <c r="A37" s="43" t="s">
        <v>155</v>
      </c>
      <c r="B37" s="45" t="s">
        <v>20</v>
      </c>
      <c r="C37" s="45" t="s">
        <v>174</v>
      </c>
      <c r="D37" s="46">
        <v>15.21</v>
      </c>
      <c r="E37" s="46">
        <v>150</v>
      </c>
      <c r="F37" s="46">
        <v>2200</v>
      </c>
      <c r="G37" s="46">
        <v>1</v>
      </c>
      <c r="H37" s="46">
        <v>0.6</v>
      </c>
      <c r="I37" s="46">
        <v>0.8</v>
      </c>
      <c r="J37" s="46">
        <v>2.16</v>
      </c>
      <c r="K37" s="46">
        <v>2</v>
      </c>
    </row>
    <row r="38" spans="1:11" ht="27" x14ac:dyDescent="0.3">
      <c r="A38" s="43" t="s">
        <v>21</v>
      </c>
      <c r="B38" s="45" t="s">
        <v>22</v>
      </c>
      <c r="C38" s="45" t="s">
        <v>175</v>
      </c>
      <c r="D38" s="46">
        <v>8.25</v>
      </c>
      <c r="E38" s="46">
        <v>150</v>
      </c>
      <c r="F38" s="46">
        <v>4000</v>
      </c>
      <c r="G38" s="46">
        <v>1</v>
      </c>
      <c r="H38" s="46">
        <v>0.6</v>
      </c>
      <c r="I38" s="46">
        <v>0.8</v>
      </c>
      <c r="J38" s="46">
        <v>0.64</v>
      </c>
      <c r="K38" s="46">
        <v>2</v>
      </c>
    </row>
    <row r="39" spans="1:11" ht="27" x14ac:dyDescent="0.3">
      <c r="A39" s="43" t="s">
        <v>21</v>
      </c>
      <c r="B39" s="45" t="s">
        <v>23</v>
      </c>
      <c r="C39" s="45" t="s">
        <v>176</v>
      </c>
      <c r="D39" s="46">
        <v>13.69</v>
      </c>
      <c r="E39" s="46">
        <v>300</v>
      </c>
      <c r="F39" s="46">
        <v>3600</v>
      </c>
      <c r="G39" s="46">
        <v>1</v>
      </c>
      <c r="H39" s="46">
        <v>0.6</v>
      </c>
      <c r="I39" s="46">
        <v>0.8</v>
      </c>
      <c r="J39" s="46">
        <v>2.38</v>
      </c>
      <c r="K39" s="46">
        <v>4</v>
      </c>
    </row>
    <row r="40" spans="1:11" ht="40.200000000000003" x14ac:dyDescent="0.3">
      <c r="A40" s="43" t="s">
        <v>21</v>
      </c>
      <c r="B40" s="45" t="s">
        <v>24</v>
      </c>
      <c r="C40" s="45" t="s">
        <v>177</v>
      </c>
      <c r="D40" s="46">
        <v>1.35</v>
      </c>
      <c r="E40" s="46">
        <v>150</v>
      </c>
      <c r="F40" s="46">
        <v>1100</v>
      </c>
      <c r="G40" s="46">
        <v>1</v>
      </c>
      <c r="H40" s="46">
        <v>0.6</v>
      </c>
      <c r="I40" s="46">
        <v>0.8</v>
      </c>
      <c r="J40" s="46">
        <v>0.38</v>
      </c>
      <c r="K40" s="46">
        <v>1</v>
      </c>
    </row>
    <row r="41" spans="1:11" ht="40.200000000000003" x14ac:dyDescent="0.3">
      <c r="A41" s="43" t="s">
        <v>21</v>
      </c>
      <c r="B41" s="45" t="s">
        <v>25</v>
      </c>
      <c r="C41" s="45" t="s">
        <v>178</v>
      </c>
      <c r="D41" s="46">
        <v>6.35</v>
      </c>
      <c r="E41" s="46">
        <v>150</v>
      </c>
      <c r="F41" s="46">
        <v>1350</v>
      </c>
      <c r="G41" s="46">
        <v>1</v>
      </c>
      <c r="H41" s="46">
        <v>0.6</v>
      </c>
      <c r="I41" s="46">
        <v>0.8</v>
      </c>
      <c r="J41" s="46">
        <v>1.47</v>
      </c>
      <c r="K41" s="46">
        <v>2</v>
      </c>
    </row>
    <row r="42" spans="1:11" ht="40.200000000000003" x14ac:dyDescent="0.3">
      <c r="A42" s="43" t="s">
        <v>21</v>
      </c>
      <c r="B42" s="45" t="s">
        <v>26</v>
      </c>
      <c r="C42" s="45" t="s">
        <v>179</v>
      </c>
      <c r="D42" s="46">
        <v>15.21</v>
      </c>
      <c r="E42" s="46">
        <v>150</v>
      </c>
      <c r="F42" s="46">
        <v>2200</v>
      </c>
      <c r="G42" s="46">
        <v>1</v>
      </c>
      <c r="H42" s="46">
        <v>0.6</v>
      </c>
      <c r="I42" s="46">
        <v>0.8</v>
      </c>
      <c r="J42" s="46">
        <v>2.16</v>
      </c>
      <c r="K42" s="46">
        <v>2</v>
      </c>
    </row>
    <row r="43" spans="1:11" ht="27" x14ac:dyDescent="0.3">
      <c r="A43" s="43" t="s">
        <v>21</v>
      </c>
      <c r="B43" s="45" t="s">
        <v>27</v>
      </c>
      <c r="C43" s="45" t="s">
        <v>180</v>
      </c>
      <c r="D43" s="46">
        <v>46.42</v>
      </c>
      <c r="E43" s="46">
        <v>50</v>
      </c>
      <c r="F43" s="46">
        <v>2400</v>
      </c>
      <c r="G43" s="46">
        <v>1</v>
      </c>
      <c r="H43" s="46">
        <v>0.6</v>
      </c>
      <c r="I43" s="46">
        <v>0.8</v>
      </c>
      <c r="J43" s="46">
        <v>2.0099999999999998</v>
      </c>
      <c r="K43" s="4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6703-2E58-4F0B-96D9-3BF2B95E2E84}">
  <dimension ref="A1:E62"/>
  <sheetViews>
    <sheetView workbookViewId="0">
      <selection activeCell="G14" sqref="G14"/>
    </sheetView>
  </sheetViews>
  <sheetFormatPr defaultRowHeight="14.4" x14ac:dyDescent="0.3"/>
  <cols>
    <col min="2" max="2" width="26.5546875" customWidth="1"/>
    <col min="3" max="3" width="26" customWidth="1"/>
    <col min="4" max="4" width="16.21875" customWidth="1"/>
    <col min="5" max="5" width="29.21875" customWidth="1"/>
  </cols>
  <sheetData>
    <row r="1" spans="1:5" ht="15.6" x14ac:dyDescent="0.3">
      <c r="A1" s="114" t="s">
        <v>4</v>
      </c>
      <c r="B1" s="116" t="s">
        <v>28</v>
      </c>
      <c r="C1" s="116" t="s">
        <v>52</v>
      </c>
      <c r="D1" s="8" t="s">
        <v>53</v>
      </c>
      <c r="E1" s="116" t="s">
        <v>55</v>
      </c>
    </row>
    <row r="2" spans="1:5" ht="16.2" thickBot="1" x14ac:dyDescent="0.35">
      <c r="A2" s="115"/>
      <c r="B2" s="117"/>
      <c r="C2" s="117"/>
      <c r="D2" s="9" t="s">
        <v>54</v>
      </c>
      <c r="E2" s="117"/>
    </row>
    <row r="3" spans="1:5" ht="31.8" thickBot="1" x14ac:dyDescent="0.35">
      <c r="A3" s="118" t="s">
        <v>56</v>
      </c>
      <c r="B3" s="10" t="s">
        <v>7</v>
      </c>
      <c r="C3" s="11" t="s">
        <v>57</v>
      </c>
      <c r="D3" s="10">
        <v>11</v>
      </c>
      <c r="E3" s="10">
        <v>4</v>
      </c>
    </row>
    <row r="4" spans="1:5" ht="31.8" thickBot="1" x14ac:dyDescent="0.35">
      <c r="A4" s="119"/>
      <c r="B4" s="10" t="s">
        <v>58</v>
      </c>
      <c r="C4" s="11" t="s">
        <v>59</v>
      </c>
      <c r="D4" s="10">
        <v>21</v>
      </c>
      <c r="E4" s="10">
        <v>4</v>
      </c>
    </row>
    <row r="5" spans="1:5" ht="31.8" thickBot="1" x14ac:dyDescent="0.35">
      <c r="A5" s="119"/>
      <c r="B5" s="10" t="s">
        <v>2</v>
      </c>
      <c r="C5" s="11" t="s">
        <v>59</v>
      </c>
      <c r="D5" s="10">
        <v>21</v>
      </c>
      <c r="E5" s="10">
        <v>3</v>
      </c>
    </row>
    <row r="6" spans="1:5" ht="16.2" thickBot="1" x14ac:dyDescent="0.35">
      <c r="A6" s="119"/>
      <c r="B6" s="10" t="s">
        <v>8</v>
      </c>
      <c r="C6" s="11" t="s">
        <v>60</v>
      </c>
      <c r="D6" s="10">
        <v>9.5</v>
      </c>
      <c r="E6" s="10">
        <v>2</v>
      </c>
    </row>
    <row r="7" spans="1:5" ht="16.2" thickBot="1" x14ac:dyDescent="0.35">
      <c r="A7" s="119"/>
      <c r="B7" s="10" t="s">
        <v>9</v>
      </c>
      <c r="C7" s="11" t="s">
        <v>61</v>
      </c>
      <c r="D7" s="10">
        <v>11</v>
      </c>
      <c r="E7" s="10">
        <v>2</v>
      </c>
    </row>
    <row r="8" spans="1:5" ht="16.2" thickBot="1" x14ac:dyDescent="0.35">
      <c r="A8" s="119"/>
      <c r="B8" s="10" t="s">
        <v>10</v>
      </c>
      <c r="C8" s="11" t="s">
        <v>61</v>
      </c>
      <c r="D8" s="10">
        <v>11</v>
      </c>
      <c r="E8" s="10">
        <v>1</v>
      </c>
    </row>
    <row r="9" spans="1:5" ht="16.2" thickBot="1" x14ac:dyDescent="0.35">
      <c r="A9" s="119"/>
      <c r="B9" s="10" t="s">
        <v>62</v>
      </c>
      <c r="C9" s="11" t="s">
        <v>60</v>
      </c>
      <c r="D9" s="10">
        <v>9.5</v>
      </c>
      <c r="E9" s="10">
        <v>1</v>
      </c>
    </row>
    <row r="10" spans="1:5" ht="16.2" thickBot="1" x14ac:dyDescent="0.35">
      <c r="A10" s="119"/>
      <c r="B10" s="10" t="s">
        <v>63</v>
      </c>
      <c r="C10" s="11" t="s">
        <v>60</v>
      </c>
      <c r="D10" s="10">
        <v>9.5</v>
      </c>
      <c r="E10" s="10">
        <v>1</v>
      </c>
    </row>
    <row r="11" spans="1:5" ht="16.2" thickBot="1" x14ac:dyDescent="0.35">
      <c r="A11" s="119"/>
      <c r="B11" s="10" t="s">
        <v>3</v>
      </c>
      <c r="C11" s="11" t="s">
        <v>64</v>
      </c>
      <c r="D11" s="10">
        <v>30</v>
      </c>
      <c r="E11" s="10">
        <v>1</v>
      </c>
    </row>
    <row r="12" spans="1:5" ht="16.2" thickBot="1" x14ac:dyDescent="0.35">
      <c r="A12" s="119"/>
      <c r="B12" s="10" t="s">
        <v>11</v>
      </c>
      <c r="C12" s="11" t="s">
        <v>65</v>
      </c>
      <c r="D12" s="10">
        <v>18</v>
      </c>
      <c r="E12" s="10">
        <v>1</v>
      </c>
    </row>
    <row r="13" spans="1:5" ht="16.2" thickBot="1" x14ac:dyDescent="0.35">
      <c r="A13" s="119"/>
      <c r="B13" s="10" t="s">
        <v>12</v>
      </c>
      <c r="C13" s="11" t="s">
        <v>66</v>
      </c>
      <c r="D13" s="10">
        <v>12</v>
      </c>
      <c r="E13" s="10">
        <v>1</v>
      </c>
    </row>
    <row r="14" spans="1:5" ht="15.6" x14ac:dyDescent="0.3">
      <c r="A14" s="119"/>
      <c r="B14" s="118" t="s">
        <v>13</v>
      </c>
      <c r="C14" s="12"/>
      <c r="D14" s="118">
        <v>21</v>
      </c>
      <c r="E14" s="118">
        <v>4</v>
      </c>
    </row>
    <row r="15" spans="1:5" ht="16.2" thickBot="1" x14ac:dyDescent="0.35">
      <c r="A15" s="119"/>
      <c r="B15" s="120"/>
      <c r="C15" s="13" t="s">
        <v>61</v>
      </c>
      <c r="D15" s="120"/>
      <c r="E15" s="120"/>
    </row>
    <row r="16" spans="1:5" ht="16.2" thickBot="1" x14ac:dyDescent="0.35">
      <c r="A16" s="120"/>
      <c r="B16" s="10" t="s">
        <v>14</v>
      </c>
      <c r="C16" s="11" t="s">
        <v>64</v>
      </c>
      <c r="D16" s="10">
        <v>30</v>
      </c>
      <c r="E16" s="10">
        <v>2</v>
      </c>
    </row>
    <row r="17" spans="1:5" ht="16.2" thickBot="1" x14ac:dyDescent="0.35">
      <c r="A17" s="118" t="s">
        <v>67</v>
      </c>
      <c r="B17" s="10" t="s">
        <v>22</v>
      </c>
      <c r="C17" s="11" t="s">
        <v>64</v>
      </c>
      <c r="D17" s="10">
        <v>30</v>
      </c>
      <c r="E17" s="10">
        <v>2</v>
      </c>
    </row>
    <row r="18" spans="1:5" ht="16.2" thickBot="1" x14ac:dyDescent="0.35">
      <c r="A18" s="119"/>
      <c r="B18" s="10" t="s">
        <v>23</v>
      </c>
      <c r="C18" s="11" t="s">
        <v>68</v>
      </c>
      <c r="D18" s="10">
        <v>28.5</v>
      </c>
      <c r="E18" s="10">
        <v>4</v>
      </c>
    </row>
    <row r="19" spans="1:5" ht="15.6" x14ac:dyDescent="0.3">
      <c r="A19" s="119"/>
      <c r="B19" s="118" t="s">
        <v>24</v>
      </c>
      <c r="C19" s="12"/>
      <c r="D19" s="118">
        <v>9.5</v>
      </c>
      <c r="E19" s="118">
        <v>1</v>
      </c>
    </row>
    <row r="20" spans="1:5" ht="16.2" thickBot="1" x14ac:dyDescent="0.35">
      <c r="A20" s="119"/>
      <c r="B20" s="120"/>
      <c r="C20" s="13" t="s">
        <v>60</v>
      </c>
      <c r="D20" s="120"/>
      <c r="E20" s="120"/>
    </row>
    <row r="21" spans="1:5" ht="16.2" thickBot="1" x14ac:dyDescent="0.35">
      <c r="A21" s="119"/>
      <c r="B21" s="10" t="s">
        <v>25</v>
      </c>
      <c r="C21" s="11" t="s">
        <v>66</v>
      </c>
      <c r="D21" s="10">
        <v>12</v>
      </c>
      <c r="E21" s="10">
        <v>2</v>
      </c>
    </row>
    <row r="22" spans="1:5" ht="16.2" thickBot="1" x14ac:dyDescent="0.35">
      <c r="A22" s="119"/>
      <c r="B22" s="10" t="s">
        <v>26</v>
      </c>
      <c r="C22" s="11" t="s">
        <v>60</v>
      </c>
      <c r="D22" s="10">
        <v>19</v>
      </c>
      <c r="E22" s="10">
        <v>2</v>
      </c>
    </row>
    <row r="23" spans="1:5" ht="46.2" customHeight="1" x14ac:dyDescent="0.3">
      <c r="A23" s="119"/>
      <c r="B23" s="118" t="s">
        <v>27</v>
      </c>
      <c r="C23" s="121" t="s">
        <v>69</v>
      </c>
      <c r="D23" s="12"/>
      <c r="E23" s="118">
        <v>6</v>
      </c>
    </row>
    <row r="24" spans="1:5" ht="16.2" thickBot="1" x14ac:dyDescent="0.35">
      <c r="A24" s="119"/>
      <c r="B24" s="120"/>
      <c r="C24" s="122"/>
      <c r="D24" s="10">
        <v>20</v>
      </c>
      <c r="E24" s="120"/>
    </row>
    <row r="25" spans="1:5" ht="31.8" thickBot="1" x14ac:dyDescent="0.35">
      <c r="A25" s="119"/>
      <c r="B25" s="10" t="s">
        <v>70</v>
      </c>
      <c r="C25" s="10" t="s">
        <v>71</v>
      </c>
      <c r="D25" s="10">
        <v>28</v>
      </c>
      <c r="E25" s="10">
        <v>2</v>
      </c>
    </row>
    <row r="26" spans="1:5" ht="31.8" thickBot="1" x14ac:dyDescent="0.35">
      <c r="A26" s="119"/>
      <c r="B26" s="10" t="s">
        <v>72</v>
      </c>
      <c r="C26" s="10" t="s">
        <v>73</v>
      </c>
      <c r="D26" s="10">
        <v>15</v>
      </c>
      <c r="E26" s="10">
        <v>10</v>
      </c>
    </row>
    <row r="27" spans="1:5" ht="31.8" thickBot="1" x14ac:dyDescent="0.35">
      <c r="A27" s="120"/>
      <c r="B27" s="10" t="s">
        <v>74</v>
      </c>
      <c r="C27" s="10" t="s">
        <v>75</v>
      </c>
      <c r="D27" s="10">
        <v>20</v>
      </c>
      <c r="E27" s="10">
        <v>6</v>
      </c>
    </row>
    <row r="28" spans="1:5" ht="31.8" thickBot="1" x14ac:dyDescent="0.35">
      <c r="A28" s="118" t="s">
        <v>76</v>
      </c>
      <c r="B28" s="10" t="s">
        <v>77</v>
      </c>
      <c r="C28" s="10" t="s">
        <v>78</v>
      </c>
      <c r="D28" s="10">
        <v>11</v>
      </c>
      <c r="E28" s="10">
        <v>4</v>
      </c>
    </row>
    <row r="29" spans="1:5" ht="31.8" thickBot="1" x14ac:dyDescent="0.35">
      <c r="A29" s="119"/>
      <c r="B29" s="10" t="s">
        <v>79</v>
      </c>
      <c r="C29" s="10" t="s">
        <v>78</v>
      </c>
      <c r="D29" s="10">
        <v>11</v>
      </c>
      <c r="E29" s="10">
        <v>3</v>
      </c>
    </row>
    <row r="30" spans="1:5" ht="31.8" thickBot="1" x14ac:dyDescent="0.35">
      <c r="A30" s="119"/>
      <c r="B30" s="10" t="s">
        <v>15</v>
      </c>
      <c r="C30" s="10" t="s">
        <v>80</v>
      </c>
      <c r="D30" s="10">
        <v>21</v>
      </c>
      <c r="E30" s="10">
        <v>4</v>
      </c>
    </row>
    <row r="31" spans="1:5" ht="31.8" thickBot="1" x14ac:dyDescent="0.35">
      <c r="A31" s="119"/>
      <c r="B31" s="10" t="s">
        <v>16</v>
      </c>
      <c r="C31" s="10" t="s">
        <v>78</v>
      </c>
      <c r="D31" s="10">
        <v>11</v>
      </c>
      <c r="E31" s="10">
        <v>2</v>
      </c>
    </row>
    <row r="32" spans="1:5" ht="31.8" thickBot="1" x14ac:dyDescent="0.35">
      <c r="A32" s="119"/>
      <c r="B32" s="10" t="s">
        <v>17</v>
      </c>
      <c r="C32" s="10" t="s">
        <v>78</v>
      </c>
      <c r="D32" s="10">
        <v>11</v>
      </c>
      <c r="E32" s="10">
        <v>4</v>
      </c>
    </row>
    <row r="33" spans="1:5" ht="16.2" thickBot="1" x14ac:dyDescent="0.35">
      <c r="A33" s="119"/>
      <c r="B33" s="10" t="s">
        <v>18</v>
      </c>
      <c r="C33" s="10" t="s">
        <v>81</v>
      </c>
      <c r="D33" s="10">
        <v>12</v>
      </c>
      <c r="E33" s="10">
        <v>1</v>
      </c>
    </row>
    <row r="34" spans="1:5" ht="31.8" thickBot="1" x14ac:dyDescent="0.35">
      <c r="A34" s="119"/>
      <c r="B34" s="10" t="s">
        <v>82</v>
      </c>
      <c r="C34" s="10" t="s">
        <v>83</v>
      </c>
      <c r="D34" s="10">
        <v>9.5</v>
      </c>
      <c r="E34" s="10">
        <v>2</v>
      </c>
    </row>
    <row r="35" spans="1:5" ht="16.2" thickBot="1" x14ac:dyDescent="0.35">
      <c r="A35" s="119"/>
      <c r="B35" s="10" t="s">
        <v>84</v>
      </c>
      <c r="C35" s="10" t="s">
        <v>66</v>
      </c>
      <c r="D35" s="10">
        <v>12</v>
      </c>
      <c r="E35" s="10">
        <v>1</v>
      </c>
    </row>
    <row r="36" spans="1:5" ht="16.2" thickBot="1" x14ac:dyDescent="0.35">
      <c r="A36" s="119"/>
      <c r="B36" s="10" t="s">
        <v>85</v>
      </c>
      <c r="C36" s="10" t="s">
        <v>66</v>
      </c>
      <c r="D36" s="10">
        <v>12</v>
      </c>
      <c r="E36" s="10">
        <v>1</v>
      </c>
    </row>
    <row r="37" spans="1:5" ht="31.8" thickBot="1" x14ac:dyDescent="0.35">
      <c r="A37" s="119"/>
      <c r="B37" s="10" t="s">
        <v>86</v>
      </c>
      <c r="C37" s="10" t="s">
        <v>78</v>
      </c>
      <c r="D37" s="10">
        <v>11</v>
      </c>
      <c r="E37" s="10">
        <v>4</v>
      </c>
    </row>
    <row r="38" spans="1:5" ht="31.8" thickBot="1" x14ac:dyDescent="0.35">
      <c r="A38" s="119"/>
      <c r="B38" s="10" t="s">
        <v>87</v>
      </c>
      <c r="C38" s="10" t="s">
        <v>78</v>
      </c>
      <c r="D38" s="10">
        <v>11</v>
      </c>
      <c r="E38" s="10">
        <v>2</v>
      </c>
    </row>
    <row r="39" spans="1:5" ht="15.6" x14ac:dyDescent="0.3">
      <c r="A39" s="119"/>
      <c r="B39" s="118" t="s">
        <v>88</v>
      </c>
      <c r="C39" s="12"/>
      <c r="D39" s="118">
        <v>11</v>
      </c>
      <c r="E39" s="118">
        <v>4</v>
      </c>
    </row>
    <row r="40" spans="1:5" ht="31.8" thickBot="1" x14ac:dyDescent="0.35">
      <c r="A40" s="119"/>
      <c r="B40" s="120"/>
      <c r="C40" s="10" t="s">
        <v>78</v>
      </c>
      <c r="D40" s="120"/>
      <c r="E40" s="120"/>
    </row>
    <row r="41" spans="1:5" ht="31.8" thickBot="1" x14ac:dyDescent="0.35">
      <c r="A41" s="119"/>
      <c r="B41" s="10" t="s">
        <v>82</v>
      </c>
      <c r="C41" s="10" t="s">
        <v>83</v>
      </c>
      <c r="D41" s="10">
        <v>9.5</v>
      </c>
      <c r="E41" s="10">
        <v>2</v>
      </c>
    </row>
    <row r="42" spans="1:5" ht="31.8" thickBot="1" x14ac:dyDescent="0.35">
      <c r="A42" s="119"/>
      <c r="B42" s="10" t="s">
        <v>89</v>
      </c>
      <c r="C42" s="10" t="s">
        <v>83</v>
      </c>
      <c r="D42" s="10">
        <v>9.5</v>
      </c>
      <c r="E42" s="10">
        <v>2</v>
      </c>
    </row>
    <row r="43" spans="1:5" ht="31.8" thickBot="1" x14ac:dyDescent="0.35">
      <c r="A43" s="119"/>
      <c r="B43" s="10" t="s">
        <v>90</v>
      </c>
      <c r="C43" s="10" t="s">
        <v>83</v>
      </c>
      <c r="D43" s="10">
        <v>9.5</v>
      </c>
      <c r="E43" s="10">
        <v>2</v>
      </c>
    </row>
    <row r="44" spans="1:5" ht="31.8" thickBot="1" x14ac:dyDescent="0.35">
      <c r="A44" s="119"/>
      <c r="B44" s="10" t="s">
        <v>91</v>
      </c>
      <c r="C44" s="10" t="s">
        <v>80</v>
      </c>
      <c r="D44" s="10">
        <v>21</v>
      </c>
      <c r="E44" s="10">
        <v>4</v>
      </c>
    </row>
    <row r="45" spans="1:5" ht="31.8" thickBot="1" x14ac:dyDescent="0.35">
      <c r="A45" s="119"/>
      <c r="B45" s="10" t="s">
        <v>16</v>
      </c>
      <c r="C45" s="10" t="s">
        <v>78</v>
      </c>
      <c r="D45" s="10">
        <v>11</v>
      </c>
      <c r="E45" s="10">
        <v>2</v>
      </c>
    </row>
    <row r="46" spans="1:5" ht="31.8" thickBot="1" x14ac:dyDescent="0.35">
      <c r="A46" s="119"/>
      <c r="B46" s="10" t="s">
        <v>17</v>
      </c>
      <c r="C46" s="10" t="s">
        <v>78</v>
      </c>
      <c r="D46" s="10">
        <v>11</v>
      </c>
      <c r="E46" s="10">
        <v>5</v>
      </c>
    </row>
    <row r="47" spans="1:5" ht="16.2" thickBot="1" x14ac:dyDescent="0.35">
      <c r="A47" s="119"/>
      <c r="B47" s="10" t="s">
        <v>18</v>
      </c>
      <c r="C47" s="10" t="s">
        <v>66</v>
      </c>
      <c r="D47" s="10">
        <v>12</v>
      </c>
      <c r="E47" s="10">
        <v>1</v>
      </c>
    </row>
    <row r="48" spans="1:5" ht="16.2" thickBot="1" x14ac:dyDescent="0.35">
      <c r="A48" s="119"/>
      <c r="B48" s="10" t="s">
        <v>92</v>
      </c>
      <c r="C48" s="10" t="s">
        <v>66</v>
      </c>
      <c r="D48" s="10">
        <v>12</v>
      </c>
      <c r="E48" s="10">
        <v>1</v>
      </c>
    </row>
    <row r="49" spans="1:5" ht="16.2" thickBot="1" x14ac:dyDescent="0.35">
      <c r="A49" s="119"/>
      <c r="B49" s="10" t="s">
        <v>93</v>
      </c>
      <c r="C49" s="10" t="s">
        <v>66</v>
      </c>
      <c r="D49" s="10">
        <v>12</v>
      </c>
      <c r="E49" s="10">
        <v>1</v>
      </c>
    </row>
    <row r="50" spans="1:5" ht="16.2" thickBot="1" x14ac:dyDescent="0.35">
      <c r="A50" s="119"/>
      <c r="B50" s="10" t="s">
        <v>94</v>
      </c>
      <c r="C50" s="10" t="s">
        <v>66</v>
      </c>
      <c r="D50" s="10">
        <v>12</v>
      </c>
      <c r="E50" s="10">
        <v>1</v>
      </c>
    </row>
    <row r="51" spans="1:5" ht="16.2" thickBot="1" x14ac:dyDescent="0.35">
      <c r="A51" s="120"/>
      <c r="B51" s="10" t="s">
        <v>20</v>
      </c>
      <c r="C51" s="10" t="s">
        <v>95</v>
      </c>
      <c r="D51" s="10">
        <v>19</v>
      </c>
      <c r="E51" s="10">
        <v>2</v>
      </c>
    </row>
    <row r="54" spans="1:5" ht="15.6" x14ac:dyDescent="0.3">
      <c r="B54" s="37"/>
      <c r="C54" s="37"/>
    </row>
    <row r="55" spans="1:5" ht="15.6" x14ac:dyDescent="0.3">
      <c r="B55" s="37"/>
      <c r="C55" s="37"/>
    </row>
    <row r="56" spans="1:5" ht="15.6" x14ac:dyDescent="0.3">
      <c r="B56" s="37"/>
      <c r="C56" s="37"/>
    </row>
    <row r="57" spans="1:5" ht="15.6" x14ac:dyDescent="0.3">
      <c r="B57" s="37"/>
      <c r="C57" s="37"/>
    </row>
    <row r="58" spans="1:5" ht="15.6" x14ac:dyDescent="0.3">
      <c r="B58" s="37"/>
      <c r="C58" s="37"/>
    </row>
    <row r="59" spans="1:5" ht="15.6" x14ac:dyDescent="0.3">
      <c r="B59" s="37"/>
      <c r="C59" s="37"/>
    </row>
    <row r="60" spans="1:5" ht="15.6" x14ac:dyDescent="0.3">
      <c r="B60" s="37"/>
      <c r="C60" s="37"/>
    </row>
    <row r="61" spans="1:5" ht="15.6" x14ac:dyDescent="0.3">
      <c r="B61" s="37"/>
      <c r="C61" s="37"/>
    </row>
    <row r="62" spans="1:5" ht="15.6" x14ac:dyDescent="0.3">
      <c r="B62" s="37"/>
      <c r="C62" s="37"/>
    </row>
  </sheetData>
  <mergeCells count="19">
    <mergeCell ref="A28:A51"/>
    <mergeCell ref="B39:B40"/>
    <mergeCell ref="D39:D40"/>
    <mergeCell ref="E39:E40"/>
    <mergeCell ref="A17:A27"/>
    <mergeCell ref="B19:B20"/>
    <mergeCell ref="D19:D20"/>
    <mergeCell ref="E19:E20"/>
    <mergeCell ref="B23:B24"/>
    <mergeCell ref="C23:C24"/>
    <mergeCell ref="E23:E24"/>
    <mergeCell ref="A1:A2"/>
    <mergeCell ref="B1:B2"/>
    <mergeCell ref="C1:C2"/>
    <mergeCell ref="E1:E2"/>
    <mergeCell ref="A3:A16"/>
    <mergeCell ref="B14:B15"/>
    <mergeCell ref="D14:D15"/>
    <mergeCell ref="E14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7BEE-0A4A-4BE6-90C6-BE5082BFC202}">
  <dimension ref="B1:P73"/>
  <sheetViews>
    <sheetView zoomScale="70" zoomScaleNormal="70" workbookViewId="0">
      <pane ySplit="1" topLeftCell="A10" activePane="bottomLeft" state="frozen"/>
      <selection pane="bottomLeft" activeCell="L29" sqref="L29"/>
    </sheetView>
  </sheetViews>
  <sheetFormatPr defaultRowHeight="14.4" x14ac:dyDescent="0.3"/>
  <cols>
    <col min="10" max="10" width="11.109375" customWidth="1"/>
    <col min="11" max="11" width="12.77734375" style="38" bestFit="1" customWidth="1"/>
    <col min="12" max="12" width="63.88671875" customWidth="1"/>
    <col min="13" max="13" width="34.77734375" customWidth="1"/>
  </cols>
  <sheetData>
    <row r="1" spans="2:16" ht="117" thickBot="1" x14ac:dyDescent="0.35">
      <c r="B1" s="1" t="s">
        <v>96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40" t="s">
        <v>36</v>
      </c>
    </row>
    <row r="2" spans="2:16" ht="15" customHeight="1" thickBot="1" x14ac:dyDescent="0.35">
      <c r="B2" s="124" t="s">
        <v>97</v>
      </c>
      <c r="C2" s="124" t="s">
        <v>98</v>
      </c>
      <c r="D2" s="3" t="s">
        <v>38</v>
      </c>
      <c r="E2" s="4">
        <v>1</v>
      </c>
      <c r="F2" s="4">
        <v>1.7</v>
      </c>
      <c r="G2" s="4">
        <v>0.85</v>
      </c>
      <c r="H2" s="4">
        <v>2</v>
      </c>
      <c r="I2" s="4">
        <v>0.8</v>
      </c>
      <c r="J2" s="4">
        <v>0.9</v>
      </c>
      <c r="K2" s="41">
        <f>E2*H2*I2*J2</f>
        <v>1.4400000000000002</v>
      </c>
      <c r="N2" s="123"/>
      <c r="O2" s="123"/>
      <c r="P2" s="123"/>
    </row>
    <row r="3" spans="2:16" ht="15" thickBot="1" x14ac:dyDescent="0.35">
      <c r="B3" s="125"/>
      <c r="C3" s="125"/>
      <c r="D3" s="3" t="s">
        <v>39</v>
      </c>
      <c r="E3" s="4">
        <v>4</v>
      </c>
      <c r="F3" s="3"/>
      <c r="G3" s="4">
        <v>0.85</v>
      </c>
      <c r="H3" s="4">
        <v>0.18</v>
      </c>
      <c r="I3" s="4">
        <v>0.5</v>
      </c>
      <c r="J3" s="4">
        <v>0.85</v>
      </c>
      <c r="K3" s="41">
        <f t="shared" ref="K3:K8" si="0">E3*H3*I3*J3</f>
        <v>0.30599999999999999</v>
      </c>
      <c r="N3" s="123"/>
      <c r="O3" s="123"/>
      <c r="P3" s="123"/>
    </row>
    <row r="4" spans="2:16" ht="15" thickBot="1" x14ac:dyDescent="0.35">
      <c r="B4" s="125"/>
      <c r="C4" s="124" t="s">
        <v>99</v>
      </c>
      <c r="D4" s="3" t="s">
        <v>38</v>
      </c>
      <c r="E4" s="4">
        <v>1</v>
      </c>
      <c r="F4" s="4">
        <v>1.7</v>
      </c>
      <c r="G4" s="4">
        <v>0.9</v>
      </c>
      <c r="H4" s="4">
        <v>2</v>
      </c>
      <c r="I4" s="4">
        <v>0.8</v>
      </c>
      <c r="J4" s="4">
        <v>0.9</v>
      </c>
      <c r="K4" s="41">
        <f t="shared" si="0"/>
        <v>1.4400000000000002</v>
      </c>
      <c r="N4" s="123"/>
      <c r="O4" s="123"/>
      <c r="P4" s="123"/>
    </row>
    <row r="5" spans="2:16" ht="15" thickBot="1" x14ac:dyDescent="0.35">
      <c r="B5" s="125"/>
      <c r="C5" s="125"/>
      <c r="D5" s="3" t="s">
        <v>39</v>
      </c>
      <c r="E5" s="4">
        <v>5</v>
      </c>
      <c r="F5" s="3"/>
      <c r="G5" s="4">
        <v>0.9</v>
      </c>
      <c r="H5" s="4">
        <v>0.18</v>
      </c>
      <c r="I5" s="4">
        <v>0.5</v>
      </c>
      <c r="J5" s="4">
        <v>0.9</v>
      </c>
      <c r="K5" s="41">
        <f t="shared" si="0"/>
        <v>0.40499999999999997</v>
      </c>
      <c r="N5" s="123"/>
      <c r="O5" s="123"/>
      <c r="P5" s="123"/>
    </row>
    <row r="6" spans="2:16" ht="15" customHeight="1" thickBot="1" x14ac:dyDescent="0.35">
      <c r="B6" s="125"/>
      <c r="C6" s="124" t="s">
        <v>100</v>
      </c>
      <c r="D6" s="3" t="s">
        <v>41</v>
      </c>
      <c r="E6" s="4">
        <v>1</v>
      </c>
      <c r="F6" s="4">
        <v>0.75</v>
      </c>
      <c r="G6" s="4">
        <v>0.9</v>
      </c>
      <c r="H6" s="4">
        <v>0.83</v>
      </c>
      <c r="I6" s="4">
        <v>1</v>
      </c>
      <c r="J6" s="4">
        <v>1</v>
      </c>
      <c r="K6" s="41">
        <f t="shared" si="0"/>
        <v>0.83</v>
      </c>
      <c r="N6" s="123"/>
      <c r="O6" s="123"/>
      <c r="P6" s="123"/>
    </row>
    <row r="7" spans="2:16" ht="15" thickBot="1" x14ac:dyDescent="0.35">
      <c r="B7" s="125"/>
      <c r="C7" s="125"/>
      <c r="D7" s="3" t="s">
        <v>39</v>
      </c>
      <c r="E7" s="4">
        <v>5</v>
      </c>
      <c r="F7" s="3"/>
      <c r="G7" s="4">
        <v>0.95</v>
      </c>
      <c r="H7" s="4">
        <v>0.18</v>
      </c>
      <c r="I7" s="4">
        <v>0.4</v>
      </c>
      <c r="J7" s="4">
        <v>1</v>
      </c>
      <c r="K7" s="41">
        <f t="shared" si="0"/>
        <v>0.36</v>
      </c>
      <c r="N7" s="123"/>
      <c r="O7" s="123"/>
      <c r="P7" s="123"/>
    </row>
    <row r="8" spans="2:16" ht="28.8" thickBot="1" x14ac:dyDescent="0.35">
      <c r="B8" s="126"/>
      <c r="C8" s="14" t="s">
        <v>101</v>
      </c>
      <c r="D8" s="3" t="s">
        <v>39</v>
      </c>
      <c r="E8" s="4">
        <v>2</v>
      </c>
      <c r="F8" s="3"/>
      <c r="G8" s="4">
        <v>0.85</v>
      </c>
      <c r="H8" s="4">
        <v>0.18</v>
      </c>
      <c r="I8" s="4">
        <v>0.5</v>
      </c>
      <c r="J8" s="4">
        <v>1</v>
      </c>
      <c r="K8" s="41">
        <f t="shared" si="0"/>
        <v>0.18</v>
      </c>
      <c r="P8" s="123"/>
    </row>
    <row r="9" spans="2:16" ht="17.399999999999999" thickBot="1" x14ac:dyDescent="0.35">
      <c r="B9" s="127"/>
      <c r="C9" s="6" t="s">
        <v>103</v>
      </c>
      <c r="D9" s="3" t="s">
        <v>40</v>
      </c>
      <c r="E9" s="4"/>
      <c r="F9" s="3">
        <v>0.21</v>
      </c>
      <c r="G9" s="4">
        <v>0.9</v>
      </c>
      <c r="H9" s="4">
        <f>F9/G9</f>
        <v>0.23333333333333331</v>
      </c>
      <c r="I9" s="4">
        <v>0.66</v>
      </c>
      <c r="J9" s="4">
        <v>0.85</v>
      </c>
      <c r="K9" s="41">
        <f>H9*I9*J9</f>
        <v>0.13089999999999999</v>
      </c>
    </row>
    <row r="10" spans="2:16" ht="35.4" thickBot="1" x14ac:dyDescent="0.35">
      <c r="B10" s="124" t="s">
        <v>42</v>
      </c>
      <c r="C10" s="7" t="s">
        <v>43</v>
      </c>
      <c r="D10" s="3" t="s">
        <v>38</v>
      </c>
      <c r="E10" s="4">
        <v>1</v>
      </c>
      <c r="F10" s="4">
        <v>1.7</v>
      </c>
      <c r="G10" s="4">
        <v>0.85</v>
      </c>
      <c r="H10" s="4">
        <v>2</v>
      </c>
      <c r="I10" s="4">
        <v>0.8</v>
      </c>
      <c r="J10" s="4">
        <v>0.9</v>
      </c>
      <c r="K10" s="41">
        <f>E10*H10*I10*J10</f>
        <v>1.4400000000000002</v>
      </c>
      <c r="P10" s="123"/>
    </row>
    <row r="11" spans="2:16" ht="60.6" customHeight="1" thickBot="1" x14ac:dyDescent="0.35">
      <c r="B11" s="125"/>
      <c r="C11" s="124" t="s">
        <v>44</v>
      </c>
      <c r="D11" s="3" t="s">
        <v>45</v>
      </c>
      <c r="E11" s="4">
        <v>1</v>
      </c>
      <c r="F11" s="4">
        <v>1.5</v>
      </c>
      <c r="G11" s="4">
        <v>0.9</v>
      </c>
      <c r="H11" s="4">
        <v>1.67</v>
      </c>
      <c r="I11" s="4">
        <v>0.75</v>
      </c>
      <c r="J11" s="4">
        <v>0.9</v>
      </c>
      <c r="K11" s="41">
        <f t="shared" ref="K11:K15" si="1">E11*H11*I11*J11</f>
        <v>1.1272500000000001</v>
      </c>
      <c r="P11" s="123"/>
    </row>
    <row r="12" spans="2:16" ht="15" thickBot="1" x14ac:dyDescent="0.35">
      <c r="B12" s="125"/>
      <c r="C12" s="127"/>
      <c r="D12" s="3" t="s">
        <v>39</v>
      </c>
      <c r="E12" s="4">
        <v>4</v>
      </c>
      <c r="F12" s="4"/>
      <c r="G12" s="4">
        <v>0.9</v>
      </c>
      <c r="H12" s="4">
        <v>0.18</v>
      </c>
      <c r="I12" s="4">
        <v>0.5</v>
      </c>
      <c r="J12" s="4">
        <v>1</v>
      </c>
      <c r="K12" s="41">
        <f t="shared" si="1"/>
        <v>0.36</v>
      </c>
      <c r="P12" s="123"/>
    </row>
    <row r="13" spans="2:16" ht="91.8" thickBot="1" x14ac:dyDescent="0.35">
      <c r="B13" s="125"/>
      <c r="C13" s="7" t="s">
        <v>46</v>
      </c>
      <c r="D13" s="3" t="s">
        <v>39</v>
      </c>
      <c r="E13" s="4">
        <v>2</v>
      </c>
      <c r="F13" s="3"/>
      <c r="G13" s="4">
        <v>0.9</v>
      </c>
      <c r="H13" s="4">
        <v>0.18</v>
      </c>
      <c r="I13" s="4">
        <v>0.5</v>
      </c>
      <c r="J13" s="4">
        <v>1</v>
      </c>
      <c r="K13" s="41">
        <f t="shared" si="1"/>
        <v>0.18</v>
      </c>
      <c r="P13" s="123"/>
    </row>
    <row r="14" spans="2:16" ht="70.2" thickBot="1" x14ac:dyDescent="0.35">
      <c r="B14" s="125"/>
      <c r="C14" s="7" t="s">
        <v>47</v>
      </c>
      <c r="D14" s="3" t="s">
        <v>39</v>
      </c>
      <c r="E14" s="4">
        <v>2</v>
      </c>
      <c r="F14" s="3"/>
      <c r="G14" s="4">
        <v>0.9</v>
      </c>
      <c r="H14" s="4">
        <v>0.36</v>
      </c>
      <c r="I14" s="4">
        <v>0.5</v>
      </c>
      <c r="J14" s="4">
        <v>1</v>
      </c>
      <c r="K14" s="41">
        <f t="shared" si="1"/>
        <v>0.36</v>
      </c>
      <c r="N14" s="123"/>
      <c r="O14" s="123"/>
      <c r="P14" s="123"/>
    </row>
    <row r="15" spans="2:16" ht="98.4" thickBot="1" x14ac:dyDescent="0.35">
      <c r="B15" s="125"/>
      <c r="C15" s="7" t="s">
        <v>48</v>
      </c>
      <c r="D15" s="3" t="s">
        <v>49</v>
      </c>
      <c r="E15" s="4">
        <v>2</v>
      </c>
      <c r="F15" s="3"/>
      <c r="G15" s="4">
        <v>0.9</v>
      </c>
      <c r="H15" s="4">
        <v>0.18</v>
      </c>
      <c r="I15" s="4">
        <v>0.5</v>
      </c>
      <c r="J15" s="4">
        <v>1</v>
      </c>
      <c r="K15" s="41">
        <f t="shared" si="1"/>
        <v>0.18</v>
      </c>
      <c r="N15" s="123"/>
      <c r="O15" s="123"/>
      <c r="P15" s="123"/>
    </row>
    <row r="16" spans="2:16" ht="101.4" customHeight="1" thickBot="1" x14ac:dyDescent="0.35">
      <c r="B16" s="126"/>
      <c r="C16" s="18" t="s">
        <v>104</v>
      </c>
      <c r="D16" s="3" t="s">
        <v>105</v>
      </c>
      <c r="E16" s="4"/>
      <c r="F16" s="3">
        <v>0.19600000000000001</v>
      </c>
      <c r="G16" s="4">
        <v>0.9</v>
      </c>
      <c r="H16" s="4">
        <v>0.22</v>
      </c>
      <c r="I16" s="4">
        <v>0.66</v>
      </c>
      <c r="J16" s="4">
        <v>0.85</v>
      </c>
      <c r="K16" s="41">
        <f>H16*I16*J16</f>
        <v>0.12341999999999999</v>
      </c>
      <c r="N16" s="123"/>
      <c r="O16" s="123"/>
      <c r="P16" s="123"/>
    </row>
    <row r="17" spans="2:16" ht="39" customHeight="1" thickBot="1" x14ac:dyDescent="0.35">
      <c r="B17" s="126"/>
      <c r="C17" s="124" t="s">
        <v>106</v>
      </c>
      <c r="D17" s="3" t="s">
        <v>39</v>
      </c>
      <c r="E17" s="4">
        <v>6</v>
      </c>
      <c r="F17" s="3"/>
      <c r="G17" s="4">
        <v>0.9</v>
      </c>
      <c r="H17" s="4">
        <v>0.18</v>
      </c>
      <c r="I17" s="4">
        <v>0.5</v>
      </c>
      <c r="J17" s="4">
        <v>1</v>
      </c>
      <c r="K17" s="41">
        <f>H17*I17*J17*E17</f>
        <v>0.54</v>
      </c>
      <c r="N17" s="123"/>
      <c r="O17" s="123"/>
      <c r="P17" s="123"/>
    </row>
    <row r="18" spans="2:16" ht="57.6" customHeight="1" thickBot="1" x14ac:dyDescent="0.35">
      <c r="B18" s="128"/>
      <c r="C18" s="127"/>
      <c r="D18" s="3" t="s">
        <v>40</v>
      </c>
      <c r="E18" s="4" t="s">
        <v>107</v>
      </c>
      <c r="F18" s="4">
        <v>0.24</v>
      </c>
      <c r="G18" s="4">
        <v>0.9</v>
      </c>
      <c r="H18" s="4">
        <f>F18/G18</f>
        <v>0.26666666666666666</v>
      </c>
      <c r="I18" s="4">
        <v>0.66</v>
      </c>
      <c r="J18" s="4">
        <v>0.85</v>
      </c>
      <c r="K18" s="41">
        <f t="shared" ref="K18" si="2">H18*I18*J18</f>
        <v>0.14960000000000001</v>
      </c>
      <c r="N18" s="123"/>
      <c r="O18" s="123"/>
      <c r="P18" s="123"/>
    </row>
    <row r="19" spans="2:16" ht="16.2" thickBot="1" x14ac:dyDescent="0.35">
      <c r="B19" s="5"/>
      <c r="C19" s="5"/>
      <c r="D19" s="5"/>
      <c r="E19" s="5"/>
      <c r="F19" s="5"/>
      <c r="G19" s="5"/>
      <c r="H19" s="5"/>
      <c r="I19" s="130" t="s">
        <v>50</v>
      </c>
      <c r="J19" s="131"/>
      <c r="K19" s="42">
        <f>SUM(K2:K18)</f>
        <v>9.5521699999999967</v>
      </c>
      <c r="M19" s="123"/>
      <c r="N19" s="123"/>
    </row>
    <row r="20" spans="2:16" ht="15.6" x14ac:dyDescent="0.3">
      <c r="B20" s="5"/>
      <c r="C20" s="5"/>
      <c r="D20" s="5"/>
      <c r="E20" s="5"/>
      <c r="F20" s="5"/>
      <c r="G20" s="5"/>
      <c r="I20" s="123"/>
      <c r="J20" s="123"/>
      <c r="K20"/>
      <c r="M20" s="123"/>
      <c r="N20" s="123"/>
    </row>
    <row r="21" spans="2:16" x14ac:dyDescent="0.3">
      <c r="K21"/>
    </row>
    <row r="22" spans="2:16" x14ac:dyDescent="0.3">
      <c r="K22"/>
    </row>
    <row r="23" spans="2:16" x14ac:dyDescent="0.3">
      <c r="K23"/>
    </row>
    <row r="24" spans="2:16" x14ac:dyDescent="0.3">
      <c r="K24"/>
    </row>
    <row r="25" spans="2:16" x14ac:dyDescent="0.3">
      <c r="K25"/>
    </row>
    <row r="26" spans="2:16" x14ac:dyDescent="0.3">
      <c r="K26"/>
    </row>
    <row r="27" spans="2:16" x14ac:dyDescent="0.3">
      <c r="K27"/>
    </row>
    <row r="28" spans="2:16" x14ac:dyDescent="0.3">
      <c r="K28"/>
    </row>
    <row r="29" spans="2:16" x14ac:dyDescent="0.3">
      <c r="K29"/>
    </row>
    <row r="30" spans="2:16" x14ac:dyDescent="0.3">
      <c r="K30"/>
    </row>
    <row r="31" spans="2:16" x14ac:dyDescent="0.3">
      <c r="K31"/>
    </row>
    <row r="32" spans="2:16" x14ac:dyDescent="0.3">
      <c r="K32"/>
    </row>
    <row r="33" spans="7:11" x14ac:dyDescent="0.3">
      <c r="K33"/>
    </row>
    <row r="34" spans="7:11" x14ac:dyDescent="0.3">
      <c r="K34"/>
    </row>
    <row r="35" spans="7:11" x14ac:dyDescent="0.3">
      <c r="K35"/>
    </row>
    <row r="36" spans="7:11" x14ac:dyDescent="0.3">
      <c r="K36"/>
    </row>
    <row r="37" spans="7:11" x14ac:dyDescent="0.3">
      <c r="K37"/>
    </row>
    <row r="38" spans="7:11" x14ac:dyDescent="0.3">
      <c r="K38"/>
    </row>
    <row r="39" spans="7:11" ht="15.6" x14ac:dyDescent="0.3">
      <c r="G39" s="35"/>
      <c r="H39" s="35"/>
      <c r="I39" s="35"/>
      <c r="J39" s="35"/>
      <c r="K39"/>
    </row>
    <row r="40" spans="7:11" ht="15.6" x14ac:dyDescent="0.3">
      <c r="G40" s="35"/>
      <c r="H40" s="35"/>
      <c r="I40" s="35"/>
      <c r="J40" s="35"/>
      <c r="K40"/>
    </row>
    <row r="41" spans="7:11" ht="15.6" x14ac:dyDescent="0.3">
      <c r="G41" s="35"/>
      <c r="H41" s="35"/>
      <c r="I41" s="35"/>
      <c r="J41" s="35"/>
      <c r="K41"/>
    </row>
    <row r="42" spans="7:11" ht="15.6" x14ac:dyDescent="0.3">
      <c r="G42" s="35"/>
      <c r="H42" s="35"/>
      <c r="I42" s="35"/>
      <c r="J42" s="35"/>
      <c r="K42"/>
    </row>
    <row r="43" spans="7:11" ht="15.6" x14ac:dyDescent="0.3">
      <c r="G43" s="35"/>
      <c r="H43" s="35"/>
      <c r="I43" s="35"/>
      <c r="J43" s="35"/>
      <c r="K43"/>
    </row>
    <row r="44" spans="7:11" ht="15.6" x14ac:dyDescent="0.3">
      <c r="G44" s="35"/>
      <c r="H44" s="35"/>
      <c r="I44" s="35"/>
      <c r="J44" s="35"/>
      <c r="K44"/>
    </row>
    <row r="45" spans="7:11" ht="15.6" x14ac:dyDescent="0.3">
      <c r="G45" s="35"/>
      <c r="H45" s="35"/>
      <c r="I45" s="35"/>
      <c r="J45" s="35"/>
      <c r="K45"/>
    </row>
    <row r="46" spans="7:11" ht="15.6" x14ac:dyDescent="0.3">
      <c r="G46" s="35"/>
      <c r="H46" s="35"/>
      <c r="I46" s="35"/>
      <c r="J46" s="35"/>
      <c r="K46"/>
    </row>
    <row r="47" spans="7:11" ht="15.6" x14ac:dyDescent="0.3">
      <c r="G47" s="35"/>
      <c r="H47" s="35"/>
      <c r="I47" s="36"/>
      <c r="J47" s="35"/>
      <c r="K47"/>
    </row>
    <row r="48" spans="7:11" x14ac:dyDescent="0.3">
      <c r="K48"/>
    </row>
    <row r="49" spans="7:11" x14ac:dyDescent="0.3">
      <c r="K49"/>
    </row>
    <row r="50" spans="7:11" x14ac:dyDescent="0.3">
      <c r="K50"/>
    </row>
    <row r="51" spans="7:11" ht="15.6" x14ac:dyDescent="0.3">
      <c r="G51" s="37"/>
      <c r="H51" s="37"/>
      <c r="K51"/>
    </row>
    <row r="52" spans="7:11" ht="15.6" x14ac:dyDescent="0.3">
      <c r="G52" s="37"/>
      <c r="H52" s="37"/>
      <c r="K52"/>
    </row>
    <row r="53" spans="7:11" ht="15.6" x14ac:dyDescent="0.3">
      <c r="G53" s="37"/>
      <c r="H53" s="37"/>
      <c r="K53"/>
    </row>
    <row r="54" spans="7:11" ht="15.6" x14ac:dyDescent="0.3">
      <c r="G54" s="37"/>
      <c r="H54" s="37"/>
      <c r="K54"/>
    </row>
    <row r="55" spans="7:11" ht="15.6" x14ac:dyDescent="0.3">
      <c r="G55" s="37"/>
      <c r="H55" s="37"/>
      <c r="K55"/>
    </row>
    <row r="56" spans="7:11" ht="15.6" x14ac:dyDescent="0.3">
      <c r="G56" s="37"/>
      <c r="H56" s="129"/>
      <c r="K56"/>
    </row>
    <row r="57" spans="7:11" ht="15.6" x14ac:dyDescent="0.3">
      <c r="G57" s="37"/>
      <c r="H57" s="129"/>
      <c r="K57"/>
    </row>
    <row r="58" spans="7:11" ht="15.6" x14ac:dyDescent="0.3">
      <c r="G58" s="37"/>
      <c r="H58" s="37"/>
      <c r="K58"/>
    </row>
    <row r="59" spans="7:11" ht="15.6" x14ac:dyDescent="0.3">
      <c r="G59" s="37"/>
      <c r="H59" s="37"/>
      <c r="K59"/>
    </row>
    <row r="60" spans="7:11" ht="15.6" x14ac:dyDescent="0.3">
      <c r="G60" s="37"/>
      <c r="H60" s="37"/>
      <c r="K60"/>
    </row>
    <row r="61" spans="7:11" x14ac:dyDescent="0.3">
      <c r="K61"/>
    </row>
    <row r="62" spans="7:11" x14ac:dyDescent="0.3">
      <c r="K62"/>
    </row>
    <row r="63" spans="7:11" x14ac:dyDescent="0.3">
      <c r="K63"/>
    </row>
    <row r="64" spans="7:11" x14ac:dyDescent="0.3">
      <c r="K64"/>
    </row>
    <row r="65" spans="7:11" ht="15.6" x14ac:dyDescent="0.3">
      <c r="G65" s="37"/>
      <c r="H65" s="37"/>
      <c r="K65"/>
    </row>
    <row r="66" spans="7:11" ht="15.6" x14ac:dyDescent="0.3">
      <c r="G66" s="37"/>
      <c r="H66" s="37"/>
      <c r="K66"/>
    </row>
    <row r="67" spans="7:11" ht="15.6" x14ac:dyDescent="0.3">
      <c r="G67" s="37"/>
      <c r="H67" s="37"/>
      <c r="K67"/>
    </row>
    <row r="68" spans="7:11" ht="15.6" x14ac:dyDescent="0.3">
      <c r="G68" s="37"/>
      <c r="H68" s="37"/>
    </row>
    <row r="69" spans="7:11" ht="15.6" x14ac:dyDescent="0.3">
      <c r="G69" s="37"/>
      <c r="H69" s="37"/>
    </row>
    <row r="70" spans="7:11" ht="15.6" x14ac:dyDescent="0.3">
      <c r="G70" s="37"/>
      <c r="H70" s="37"/>
    </row>
    <row r="71" spans="7:11" ht="15.6" x14ac:dyDescent="0.3">
      <c r="G71" s="37"/>
      <c r="H71" s="37"/>
    </row>
    <row r="72" spans="7:11" ht="15.6" x14ac:dyDescent="0.3">
      <c r="G72" s="37"/>
      <c r="H72" s="37"/>
    </row>
    <row r="73" spans="7:11" ht="15.6" x14ac:dyDescent="0.3">
      <c r="G73" s="37"/>
      <c r="H73" s="37"/>
    </row>
  </sheetData>
  <mergeCells count="22">
    <mergeCell ref="C6:C7"/>
    <mergeCell ref="H56:H57"/>
    <mergeCell ref="I19:J19"/>
    <mergeCell ref="M19:N19"/>
    <mergeCell ref="I20:J20"/>
    <mergeCell ref="M20:N20"/>
    <mergeCell ref="N6:N7"/>
    <mergeCell ref="B2:B9"/>
    <mergeCell ref="C11:C12"/>
    <mergeCell ref="C17:C18"/>
    <mergeCell ref="P10:P18"/>
    <mergeCell ref="N14:N18"/>
    <mergeCell ref="O14:O18"/>
    <mergeCell ref="O6:O7"/>
    <mergeCell ref="B10:B18"/>
    <mergeCell ref="C2:C3"/>
    <mergeCell ref="N2:N3"/>
    <mergeCell ref="O2:O3"/>
    <mergeCell ref="P2:P8"/>
    <mergeCell ref="C4:C5"/>
    <mergeCell ref="N4:N5"/>
    <mergeCell ref="O4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1C51-BAA9-4876-9FAD-B68D7089394C}">
  <dimension ref="A1:Q12"/>
  <sheetViews>
    <sheetView tabSelected="1" workbookViewId="0">
      <pane ySplit="1" topLeftCell="A2" activePane="bottomLeft" state="frozen"/>
      <selection pane="bottomLeft" activeCell="L13" sqref="L13"/>
    </sheetView>
  </sheetViews>
  <sheetFormatPr defaultRowHeight="14.4" x14ac:dyDescent="0.3"/>
  <cols>
    <col min="1" max="1" width="27.77734375" customWidth="1"/>
    <col min="2" max="2" width="37.44140625" customWidth="1"/>
    <col min="3" max="3" width="13.6640625" customWidth="1"/>
    <col min="4" max="4" width="14.77734375" customWidth="1"/>
    <col min="5" max="5" width="13.88671875" customWidth="1"/>
    <col min="6" max="6" width="11.77734375" customWidth="1"/>
    <col min="7" max="7" width="12.109375" customWidth="1"/>
    <col min="8" max="8" width="14" customWidth="1"/>
    <col min="9" max="9" width="15.44140625" customWidth="1"/>
    <col min="10" max="10" width="7.5546875" customWidth="1"/>
  </cols>
  <sheetData>
    <row r="1" spans="1:17" ht="129.6" customHeight="1" thickBot="1" x14ac:dyDescent="0.35">
      <c r="A1" s="175" t="s">
        <v>28</v>
      </c>
      <c r="B1" s="176" t="s">
        <v>29</v>
      </c>
      <c r="C1" s="176" t="s">
        <v>30</v>
      </c>
      <c r="D1" s="176" t="s">
        <v>31</v>
      </c>
      <c r="E1" s="176" t="s">
        <v>32</v>
      </c>
      <c r="F1" s="176" t="s">
        <v>33</v>
      </c>
      <c r="G1" s="176" t="s">
        <v>34</v>
      </c>
      <c r="H1" s="177" t="s">
        <v>35</v>
      </c>
      <c r="I1" s="178" t="s">
        <v>36</v>
      </c>
      <c r="J1" s="112"/>
      <c r="K1" s="113"/>
      <c r="L1" s="113"/>
      <c r="M1" s="113"/>
      <c r="N1" s="113"/>
      <c r="O1" s="94"/>
    </row>
    <row r="2" spans="1:17" ht="15.6" thickBot="1" x14ac:dyDescent="0.35">
      <c r="A2" s="132" t="s">
        <v>25</v>
      </c>
      <c r="B2" s="19" t="s">
        <v>108</v>
      </c>
      <c r="C2" s="19">
        <v>1</v>
      </c>
      <c r="D2" s="19">
        <v>5</v>
      </c>
      <c r="E2" s="19">
        <v>0.9</v>
      </c>
      <c r="F2" s="19">
        <f>D2/E2</f>
        <v>5.5555555555555554</v>
      </c>
      <c r="G2" s="19">
        <v>0.8</v>
      </c>
      <c r="H2" s="29">
        <v>1</v>
      </c>
      <c r="I2" s="23">
        <f>F2*G2*H2</f>
        <v>4.4444444444444446</v>
      </c>
      <c r="J2" s="22"/>
      <c r="K2" s="22"/>
      <c r="L2" s="22"/>
      <c r="M2" s="134"/>
      <c r="N2" s="134"/>
    </row>
    <row r="3" spans="1:17" ht="142.80000000000001" customHeight="1" thickBot="1" x14ac:dyDescent="0.35">
      <c r="A3" s="133"/>
      <c r="B3" s="19" t="s">
        <v>39</v>
      </c>
      <c r="C3" s="19">
        <v>4</v>
      </c>
      <c r="D3" s="168"/>
      <c r="E3" s="19">
        <v>0.85</v>
      </c>
      <c r="F3" s="19">
        <v>0.5</v>
      </c>
      <c r="G3" s="19">
        <v>0.5</v>
      </c>
      <c r="H3" s="29">
        <v>0.85</v>
      </c>
      <c r="I3" s="23">
        <f>C3*F3*G3*H3</f>
        <v>0.85</v>
      </c>
      <c r="J3" s="22"/>
      <c r="K3" s="22"/>
      <c r="L3" s="22"/>
      <c r="M3" s="134"/>
      <c r="N3" s="134"/>
      <c r="Q3" s="16" t="s">
        <v>22</v>
      </c>
    </row>
    <row r="4" spans="1:17" ht="47.4" thickBot="1" x14ac:dyDescent="0.35">
      <c r="A4" s="179" t="s">
        <v>111</v>
      </c>
      <c r="B4" s="19" t="s">
        <v>109</v>
      </c>
      <c r="C4" s="19">
        <v>1</v>
      </c>
      <c r="D4" s="19">
        <v>3</v>
      </c>
      <c r="E4" s="19">
        <v>0.9</v>
      </c>
      <c r="F4" s="19">
        <f t="shared" ref="F4:F9" si="0">D4/E4</f>
        <v>3.333333333333333</v>
      </c>
      <c r="G4" s="19">
        <v>0.9</v>
      </c>
      <c r="H4" s="29">
        <v>1</v>
      </c>
      <c r="I4" s="23">
        <f t="shared" ref="I4:I9" si="1">C4*F4*G4*H4</f>
        <v>3</v>
      </c>
      <c r="J4" s="22"/>
      <c r="K4" s="22"/>
      <c r="L4" s="134"/>
      <c r="M4" s="134"/>
      <c r="N4" s="134"/>
      <c r="Q4" s="17" t="s">
        <v>24</v>
      </c>
    </row>
    <row r="5" spans="1:17" ht="196.2" customHeight="1" thickBot="1" x14ac:dyDescent="0.35">
      <c r="A5" s="180"/>
      <c r="B5" s="19" t="s">
        <v>39</v>
      </c>
      <c r="C5" s="19">
        <v>4</v>
      </c>
      <c r="D5" s="19"/>
      <c r="E5" s="19">
        <v>0.85</v>
      </c>
      <c r="F5" s="19">
        <v>0.18</v>
      </c>
      <c r="G5" s="19">
        <v>0.5</v>
      </c>
      <c r="H5" s="29">
        <v>0.85</v>
      </c>
      <c r="I5" s="23">
        <f t="shared" si="1"/>
        <v>0.30599999999999999</v>
      </c>
      <c r="J5" s="22"/>
      <c r="K5" s="22"/>
      <c r="L5" s="134"/>
      <c r="M5" s="134"/>
      <c r="N5" s="134"/>
      <c r="Q5" s="17" t="s">
        <v>25</v>
      </c>
    </row>
    <row r="6" spans="1:17" ht="31.8" thickBot="1" x14ac:dyDescent="0.35">
      <c r="A6" s="181" t="s">
        <v>22</v>
      </c>
      <c r="B6" s="19" t="s">
        <v>39</v>
      </c>
      <c r="C6" s="19">
        <v>3</v>
      </c>
      <c r="D6" s="168"/>
      <c r="E6" s="19">
        <v>0.85</v>
      </c>
      <c r="F6" s="19">
        <v>0.18</v>
      </c>
      <c r="G6" s="19">
        <v>0.5</v>
      </c>
      <c r="H6" s="29">
        <v>0.85</v>
      </c>
      <c r="I6" s="23">
        <f t="shared" si="1"/>
        <v>0.22950000000000001</v>
      </c>
      <c r="J6" s="22"/>
      <c r="K6" s="22"/>
      <c r="L6" s="134"/>
      <c r="M6" s="134"/>
      <c r="N6" s="134"/>
    </row>
    <row r="7" spans="1:17" ht="47.4" thickBot="1" x14ac:dyDescent="0.35">
      <c r="A7" s="28" t="s">
        <v>24</v>
      </c>
      <c r="B7" s="20" t="s">
        <v>39</v>
      </c>
      <c r="C7" s="20">
        <v>2</v>
      </c>
      <c r="D7" s="20"/>
      <c r="E7" s="20">
        <v>0.85</v>
      </c>
      <c r="F7" s="19">
        <v>0.18</v>
      </c>
      <c r="G7" s="20">
        <v>0.5</v>
      </c>
      <c r="H7" s="22">
        <v>0.85</v>
      </c>
      <c r="I7" s="23">
        <f t="shared" si="1"/>
        <v>0.153</v>
      </c>
      <c r="J7" s="22"/>
      <c r="K7" s="22"/>
      <c r="L7" s="134"/>
      <c r="M7" s="134"/>
      <c r="N7" s="134"/>
    </row>
    <row r="8" spans="1:17" ht="31.8" thickBot="1" x14ac:dyDescent="0.35">
      <c r="A8" s="182" t="s">
        <v>112</v>
      </c>
      <c r="B8" s="23" t="s">
        <v>49</v>
      </c>
      <c r="C8" s="23">
        <v>6</v>
      </c>
      <c r="D8" s="23"/>
      <c r="E8" s="23">
        <v>0.85</v>
      </c>
      <c r="F8" s="19">
        <v>0.18</v>
      </c>
      <c r="G8" s="23">
        <v>0.5</v>
      </c>
      <c r="H8" s="33">
        <v>0.85</v>
      </c>
      <c r="I8" s="23">
        <f t="shared" si="1"/>
        <v>0.45900000000000002</v>
      </c>
      <c r="J8" s="22"/>
      <c r="K8" s="22"/>
      <c r="L8" s="22"/>
      <c r="M8" s="22"/>
      <c r="N8" s="22"/>
    </row>
    <row r="9" spans="1:17" ht="32.4" customHeight="1" x14ac:dyDescent="0.3">
      <c r="A9" s="183" t="s">
        <v>113</v>
      </c>
      <c r="B9" s="24" t="s">
        <v>114</v>
      </c>
      <c r="C9" s="24">
        <v>1</v>
      </c>
      <c r="D9" s="24">
        <v>6</v>
      </c>
      <c r="E9" s="24">
        <v>0.9</v>
      </c>
      <c r="F9" s="20">
        <f t="shared" si="0"/>
        <v>6.6666666666666661</v>
      </c>
      <c r="G9" s="24">
        <v>0.7</v>
      </c>
      <c r="H9" s="34">
        <v>0.9</v>
      </c>
      <c r="I9" s="23">
        <f t="shared" si="1"/>
        <v>4.1999999999999993</v>
      </c>
      <c r="J9" s="22"/>
      <c r="K9" s="22"/>
      <c r="L9" s="22"/>
      <c r="M9" s="22"/>
      <c r="N9" s="22"/>
    </row>
    <row r="10" spans="1:17" ht="31.2" x14ac:dyDescent="0.3">
      <c r="A10" s="184" t="s">
        <v>115</v>
      </c>
      <c r="B10" s="23" t="s">
        <v>102</v>
      </c>
      <c r="C10" s="23">
        <v>29</v>
      </c>
      <c r="D10" s="23">
        <v>0.57099999999999995</v>
      </c>
      <c r="E10" s="23">
        <v>0.9</v>
      </c>
      <c r="F10" s="23">
        <f>D10/E10</f>
        <v>0.63444444444444437</v>
      </c>
      <c r="G10" s="23">
        <v>0.66</v>
      </c>
      <c r="H10" s="33">
        <v>0.85</v>
      </c>
      <c r="I10" s="23">
        <f>F10*G10*H10</f>
        <v>0.35592333333333331</v>
      </c>
      <c r="J10" s="22"/>
      <c r="K10" s="22"/>
      <c r="L10" s="22"/>
      <c r="M10" s="22"/>
      <c r="N10" s="22"/>
    </row>
    <row r="11" spans="1:17" ht="16.2" thickBot="1" x14ac:dyDescent="0.35">
      <c r="A11" s="21"/>
      <c r="B11" s="169"/>
      <c r="C11" s="169"/>
      <c r="D11" s="169"/>
      <c r="E11" s="169"/>
      <c r="F11" s="169"/>
      <c r="G11" s="170" t="s">
        <v>50</v>
      </c>
      <c r="H11" s="171"/>
      <c r="I11" s="172">
        <f>SUM(I2:I10)</f>
        <v>13.997867777777776</v>
      </c>
      <c r="J11" s="30"/>
      <c r="K11" s="135"/>
      <c r="L11" s="135"/>
      <c r="M11" s="30"/>
      <c r="N11" s="32"/>
    </row>
    <row r="12" spans="1:17" ht="16.2" thickBot="1" x14ac:dyDescent="0.35">
      <c r="A12" s="5"/>
      <c r="B12" s="169"/>
      <c r="C12" s="169"/>
      <c r="D12" s="169"/>
      <c r="E12" s="169"/>
      <c r="F12" s="169"/>
      <c r="G12" s="173" t="s">
        <v>51</v>
      </c>
      <c r="H12" s="174"/>
      <c r="I12" s="172"/>
      <c r="J12" s="30"/>
      <c r="K12" s="31"/>
      <c r="L12" s="5"/>
      <c r="M12" s="30"/>
      <c r="N12" s="5"/>
    </row>
  </sheetData>
  <mergeCells count="12">
    <mergeCell ref="G12:H12"/>
    <mergeCell ref="L6:L7"/>
    <mergeCell ref="M6:M7"/>
    <mergeCell ref="N6:N7"/>
    <mergeCell ref="G11:H11"/>
    <mergeCell ref="K11:L11"/>
    <mergeCell ref="A2:A3"/>
    <mergeCell ref="M2:M3"/>
    <mergeCell ref="N2:N5"/>
    <mergeCell ref="A4:A5"/>
    <mergeCell ref="L4:L5"/>
    <mergeCell ref="M4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7848-9EA1-4823-9772-2AF4C8195F5F}">
  <dimension ref="A1:O38"/>
  <sheetViews>
    <sheetView zoomScale="85" zoomScaleNormal="85" workbookViewId="0">
      <pane ySplit="1" topLeftCell="A22" activePane="bottomLeft" state="frozen"/>
      <selection pane="bottomLeft" activeCell="Q31" sqref="Q31"/>
    </sheetView>
  </sheetViews>
  <sheetFormatPr defaultRowHeight="14.4" x14ac:dyDescent="0.3"/>
  <sheetData>
    <row r="1" spans="1:14" ht="117" thickBot="1" x14ac:dyDescent="0.35">
      <c r="A1" s="1" t="s">
        <v>96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</row>
    <row r="2" spans="1:14" ht="48" customHeight="1" thickBot="1" x14ac:dyDescent="0.35">
      <c r="A2" s="124" t="s">
        <v>97</v>
      </c>
      <c r="B2" s="124" t="s">
        <v>117</v>
      </c>
      <c r="C2" s="3" t="s">
        <v>38</v>
      </c>
      <c r="D2" s="4">
        <v>1</v>
      </c>
      <c r="E2" s="4">
        <v>1.7</v>
      </c>
      <c r="F2" s="4">
        <v>0.85</v>
      </c>
      <c r="G2" s="4">
        <v>2</v>
      </c>
      <c r="H2" s="4">
        <v>0.8</v>
      </c>
      <c r="I2" s="4">
        <v>0.9</v>
      </c>
      <c r="J2" s="4">
        <f>D2*G2*H2*I2</f>
        <v>1.4400000000000002</v>
      </c>
      <c r="K2" s="4">
        <v>13.86</v>
      </c>
      <c r="L2" s="123"/>
      <c r="M2" s="123"/>
      <c r="N2" s="123"/>
    </row>
    <row r="3" spans="1:14" ht="52.8" customHeight="1" thickBot="1" x14ac:dyDescent="0.35">
      <c r="A3" s="125"/>
      <c r="B3" s="125"/>
      <c r="C3" s="3" t="s">
        <v>119</v>
      </c>
      <c r="D3" s="4">
        <v>4</v>
      </c>
      <c r="E3" s="4"/>
      <c r="F3" s="4">
        <v>0.85</v>
      </c>
      <c r="G3" s="4">
        <v>0.18</v>
      </c>
      <c r="H3" s="4">
        <v>0.5</v>
      </c>
      <c r="I3" s="4">
        <v>0.85</v>
      </c>
      <c r="J3" s="4">
        <f t="shared" ref="J3:J13" si="0">D3*G3*H3*I3</f>
        <v>0.30599999999999999</v>
      </c>
      <c r="K3" s="4"/>
      <c r="L3" s="123"/>
      <c r="M3" s="123"/>
      <c r="N3" s="123"/>
    </row>
    <row r="4" spans="1:14" ht="30" customHeight="1" thickBot="1" x14ac:dyDescent="0.35">
      <c r="A4" s="125"/>
      <c r="B4" s="124" t="s">
        <v>118</v>
      </c>
      <c r="C4" s="3" t="s">
        <v>38</v>
      </c>
      <c r="D4" s="4">
        <v>1</v>
      </c>
      <c r="E4" s="4">
        <v>1.7</v>
      </c>
      <c r="F4" s="4">
        <v>0.85</v>
      </c>
      <c r="G4" s="4">
        <v>2</v>
      </c>
      <c r="H4" s="4">
        <v>0.8</v>
      </c>
      <c r="I4" s="4">
        <v>0.9</v>
      </c>
      <c r="J4" s="4">
        <f>D4*G4*H4*I4</f>
        <v>1.4400000000000002</v>
      </c>
      <c r="K4" s="4"/>
      <c r="L4" s="123"/>
      <c r="M4" s="123"/>
      <c r="N4" s="123"/>
    </row>
    <row r="5" spans="1:14" ht="51" customHeight="1" thickBot="1" x14ac:dyDescent="0.35">
      <c r="A5" s="125"/>
      <c r="B5" s="127"/>
      <c r="C5" s="3" t="s">
        <v>39</v>
      </c>
      <c r="D5" s="4">
        <v>4</v>
      </c>
      <c r="E5" s="3"/>
      <c r="F5" s="4">
        <v>0.85</v>
      </c>
      <c r="G5" s="4">
        <v>0.18</v>
      </c>
      <c r="H5" s="4">
        <v>0.5</v>
      </c>
      <c r="I5" s="4">
        <v>0.85</v>
      </c>
      <c r="J5" s="4">
        <f t="shared" si="0"/>
        <v>0.30599999999999999</v>
      </c>
      <c r="K5" s="4">
        <v>2.08</v>
      </c>
      <c r="L5" s="123"/>
      <c r="M5" s="123"/>
      <c r="N5" s="123"/>
    </row>
    <row r="6" spans="1:14" ht="51" customHeight="1" thickBot="1" x14ac:dyDescent="0.35">
      <c r="A6" s="125"/>
      <c r="B6" s="124" t="s">
        <v>116</v>
      </c>
      <c r="C6" s="3" t="s">
        <v>38</v>
      </c>
      <c r="D6" s="4">
        <v>1</v>
      </c>
      <c r="E6" s="4">
        <v>1.7</v>
      </c>
      <c r="F6" s="4">
        <v>0.85</v>
      </c>
      <c r="G6" s="4">
        <v>2</v>
      </c>
      <c r="H6" s="4">
        <v>0.8</v>
      </c>
      <c r="I6" s="4">
        <v>0.9</v>
      </c>
      <c r="J6" s="4">
        <f>D6*G6*H6*I6</f>
        <v>1.4400000000000002</v>
      </c>
      <c r="K6" s="4"/>
      <c r="N6" s="123"/>
    </row>
    <row r="7" spans="1:14" ht="15" thickBot="1" x14ac:dyDescent="0.35">
      <c r="A7" s="125"/>
      <c r="B7" s="127"/>
      <c r="C7" s="3" t="s">
        <v>39</v>
      </c>
      <c r="D7" s="4">
        <v>6</v>
      </c>
      <c r="E7" s="3"/>
      <c r="F7" s="4">
        <v>0.85</v>
      </c>
      <c r="G7" s="4">
        <v>0.18</v>
      </c>
      <c r="H7" s="4">
        <v>0.5</v>
      </c>
      <c r="I7" s="4">
        <v>0.85</v>
      </c>
      <c r="J7" s="4">
        <f t="shared" si="0"/>
        <v>0.45900000000000002</v>
      </c>
      <c r="K7" s="4"/>
      <c r="N7" s="123"/>
    </row>
    <row r="8" spans="1:14" ht="15" thickBot="1" x14ac:dyDescent="0.35">
      <c r="A8" s="125"/>
      <c r="B8" s="124" t="s">
        <v>122</v>
      </c>
      <c r="C8" s="3" t="s">
        <v>41</v>
      </c>
      <c r="D8" s="4">
        <v>1</v>
      </c>
      <c r="E8" s="4">
        <v>0.75</v>
      </c>
      <c r="F8" s="4">
        <v>0.9</v>
      </c>
      <c r="G8" s="4">
        <f>E8/F8</f>
        <v>0.83333333333333326</v>
      </c>
      <c r="H8" s="4">
        <v>0.9</v>
      </c>
      <c r="I8" s="4">
        <v>1</v>
      </c>
      <c r="J8" s="4">
        <f t="shared" si="0"/>
        <v>0.75</v>
      </c>
      <c r="K8" s="4"/>
      <c r="L8" s="123"/>
      <c r="M8" s="123"/>
      <c r="N8" s="123"/>
    </row>
    <row r="9" spans="1:14" ht="36.6" customHeight="1" thickBot="1" x14ac:dyDescent="0.35">
      <c r="A9" s="125"/>
      <c r="B9" s="125"/>
      <c r="C9" s="3" t="s">
        <v>39</v>
      </c>
      <c r="D9" s="4">
        <v>6</v>
      </c>
      <c r="E9" s="3"/>
      <c r="F9" s="4">
        <v>0.85</v>
      </c>
      <c r="G9" s="4">
        <v>0.6</v>
      </c>
      <c r="H9" s="4">
        <v>0.5</v>
      </c>
      <c r="I9" s="4">
        <v>0.85</v>
      </c>
      <c r="J9" s="4">
        <f t="shared" si="0"/>
        <v>1.5299999999999998</v>
      </c>
      <c r="K9" s="4"/>
      <c r="L9" s="123"/>
      <c r="M9" s="123"/>
      <c r="N9" s="123"/>
    </row>
    <row r="10" spans="1:14" ht="36.6" customHeight="1" thickBot="1" x14ac:dyDescent="0.35">
      <c r="A10" s="125"/>
      <c r="B10" s="18" t="s">
        <v>85</v>
      </c>
      <c r="C10" s="3" t="s">
        <v>49</v>
      </c>
      <c r="D10" s="4">
        <v>3</v>
      </c>
      <c r="E10" s="3"/>
      <c r="F10" s="4">
        <v>0.85</v>
      </c>
      <c r="G10" s="4">
        <v>0.18</v>
      </c>
      <c r="H10" s="4">
        <v>0.5</v>
      </c>
      <c r="I10" s="4">
        <v>0.85</v>
      </c>
      <c r="J10" s="4">
        <f t="shared" si="0"/>
        <v>0.22950000000000001</v>
      </c>
      <c r="K10" s="4"/>
      <c r="N10" s="123"/>
    </row>
    <row r="11" spans="1:14" ht="50.4" customHeight="1" thickBot="1" x14ac:dyDescent="0.35">
      <c r="A11" s="125"/>
      <c r="B11" s="18" t="s">
        <v>121</v>
      </c>
      <c r="C11" s="3" t="s">
        <v>49</v>
      </c>
      <c r="D11" s="4">
        <v>2</v>
      </c>
      <c r="E11" s="3"/>
      <c r="F11" s="4">
        <v>0.85</v>
      </c>
      <c r="G11" s="4">
        <v>0.18</v>
      </c>
      <c r="H11" s="4">
        <v>0.5</v>
      </c>
      <c r="I11" s="4">
        <v>0.85</v>
      </c>
      <c r="J11" s="4">
        <f t="shared" si="0"/>
        <v>0.153</v>
      </c>
      <c r="K11" s="4"/>
      <c r="N11" s="123"/>
    </row>
    <row r="12" spans="1:14" ht="50.4" customHeight="1" thickBot="1" x14ac:dyDescent="0.35">
      <c r="A12" s="127"/>
      <c r="B12" s="6" t="s">
        <v>120</v>
      </c>
      <c r="C12" s="3" t="s">
        <v>102</v>
      </c>
      <c r="D12" s="4">
        <v>22</v>
      </c>
      <c r="E12" s="3">
        <v>0.28199999999999997</v>
      </c>
      <c r="F12" s="4">
        <v>0.9</v>
      </c>
      <c r="G12" s="4">
        <f>E12/F12</f>
        <v>0.3133333333333333</v>
      </c>
      <c r="H12" s="4">
        <v>0.66</v>
      </c>
      <c r="I12" s="4">
        <v>0.85</v>
      </c>
      <c r="J12" s="4">
        <f>G12*H12*I12</f>
        <v>0.17577999999999999</v>
      </c>
      <c r="K12" s="4"/>
      <c r="N12" s="123"/>
    </row>
    <row r="13" spans="1:14" ht="15" thickBot="1" x14ac:dyDescent="0.35">
      <c r="A13" s="124" t="s">
        <v>42</v>
      </c>
      <c r="B13" s="124" t="s">
        <v>110</v>
      </c>
      <c r="C13" s="3" t="s">
        <v>49</v>
      </c>
      <c r="D13" s="4">
        <v>2</v>
      </c>
      <c r="E13" s="4"/>
      <c r="F13" s="4">
        <v>0.85</v>
      </c>
      <c r="G13" s="4">
        <v>0.18</v>
      </c>
      <c r="H13" s="4">
        <v>0.5</v>
      </c>
      <c r="I13" s="4">
        <v>0.85</v>
      </c>
      <c r="J13" s="4">
        <f t="shared" si="0"/>
        <v>0.153</v>
      </c>
      <c r="K13" s="4"/>
      <c r="L13" s="123"/>
      <c r="M13" s="123"/>
      <c r="N13" s="123"/>
    </row>
    <row r="14" spans="1:14" ht="69" customHeight="1" thickBot="1" x14ac:dyDescent="0.35">
      <c r="A14" s="127"/>
      <c r="B14" s="127"/>
      <c r="C14" s="3" t="s">
        <v>40</v>
      </c>
      <c r="D14" s="4">
        <v>2</v>
      </c>
      <c r="E14" s="4">
        <v>3.7999999999999999E-2</v>
      </c>
      <c r="F14" s="4">
        <v>0.9</v>
      </c>
      <c r="G14" s="4">
        <f>E14/F14</f>
        <v>4.2222222222222223E-2</v>
      </c>
      <c r="H14" s="4">
        <v>0.66</v>
      </c>
      <c r="I14" s="4">
        <v>0.85</v>
      </c>
      <c r="J14" s="4">
        <f>G14*H14*I14</f>
        <v>2.3686666666666668E-2</v>
      </c>
      <c r="K14" s="25"/>
      <c r="L14" s="123"/>
      <c r="M14" s="123"/>
      <c r="N14" s="123"/>
    </row>
    <row r="15" spans="1:14" ht="16.2" thickBot="1" x14ac:dyDescent="0.35">
      <c r="A15" s="5"/>
      <c r="B15" s="5"/>
      <c r="C15" s="5"/>
      <c r="D15" s="5"/>
      <c r="E15" s="5"/>
      <c r="F15" s="5"/>
      <c r="G15" s="5"/>
      <c r="H15" s="130" t="s">
        <v>50</v>
      </c>
      <c r="I15" s="131"/>
      <c r="J15" s="27">
        <f>SUM(J2:J14)</f>
        <v>8.4059666666666661</v>
      </c>
      <c r="K15" s="159"/>
      <c r="L15" s="159"/>
      <c r="M15" s="26"/>
      <c r="N15" s="5"/>
    </row>
    <row r="16" spans="1:14" ht="16.2" thickBot="1" x14ac:dyDescent="0.35">
      <c r="A16" s="5"/>
      <c r="B16" s="5"/>
      <c r="C16" s="5"/>
      <c r="D16" s="5"/>
      <c r="E16" s="5"/>
      <c r="F16" s="5"/>
      <c r="G16" s="5"/>
      <c r="H16" s="130"/>
      <c r="I16" s="131"/>
      <c r="J16" s="27"/>
      <c r="K16" s="159"/>
      <c r="L16" s="159"/>
      <c r="M16" s="26"/>
      <c r="N16" s="5"/>
    </row>
    <row r="20" spans="1:15" ht="15" thickBot="1" x14ac:dyDescent="0.35"/>
    <row r="21" spans="1:15" ht="126" thickTop="1" thickBot="1" x14ac:dyDescent="0.35">
      <c r="A21" s="60" t="s">
        <v>96</v>
      </c>
      <c r="B21" s="61" t="s">
        <v>181</v>
      </c>
      <c r="C21" s="61" t="s">
        <v>28</v>
      </c>
      <c r="D21" s="61" t="s">
        <v>29</v>
      </c>
      <c r="E21" s="61" t="s">
        <v>30</v>
      </c>
      <c r="F21" s="62" t="s">
        <v>31</v>
      </c>
      <c r="G21" s="63" t="s">
        <v>32</v>
      </c>
      <c r="H21" s="63" t="s">
        <v>33</v>
      </c>
      <c r="I21" s="63" t="s">
        <v>34</v>
      </c>
      <c r="J21" s="63" t="s">
        <v>35</v>
      </c>
      <c r="K21" s="63" t="s">
        <v>36</v>
      </c>
      <c r="L21" s="95" t="s">
        <v>37</v>
      </c>
      <c r="M21" s="99" t="s">
        <v>182</v>
      </c>
      <c r="N21" s="92" t="s">
        <v>183</v>
      </c>
      <c r="O21" s="93" t="s">
        <v>184</v>
      </c>
    </row>
    <row r="22" spans="1:15" ht="15" customHeight="1" thickBot="1" x14ac:dyDescent="0.35">
      <c r="A22" s="156" t="s">
        <v>185</v>
      </c>
      <c r="B22" s="58" t="s">
        <v>186</v>
      </c>
      <c r="C22" s="150" t="s">
        <v>187</v>
      </c>
      <c r="D22" s="58" t="s">
        <v>38</v>
      </c>
      <c r="E22" s="4">
        <v>1</v>
      </c>
      <c r="F22" s="4">
        <v>1.7</v>
      </c>
      <c r="G22" s="4">
        <v>0.85</v>
      </c>
      <c r="H22" s="4">
        <v>2</v>
      </c>
      <c r="I22" s="4">
        <v>0.8</v>
      </c>
      <c r="J22" s="4">
        <v>0.9</v>
      </c>
      <c r="K22" s="4">
        <f>E22*H22*I22*J22</f>
        <v>1.4400000000000002</v>
      </c>
      <c r="L22" s="96">
        <v>4.4194373401345004</v>
      </c>
      <c r="M22" s="54">
        <v>4.4194373401534532</v>
      </c>
      <c r="N22" s="54" t="s">
        <v>188</v>
      </c>
      <c r="O22" s="136" t="s">
        <v>189</v>
      </c>
    </row>
    <row r="23" spans="1:15" ht="15" thickBot="1" x14ac:dyDescent="0.35">
      <c r="A23" s="157"/>
      <c r="B23" s="54" t="s">
        <v>190</v>
      </c>
      <c r="C23" s="151"/>
      <c r="D23" s="54" t="s">
        <v>191</v>
      </c>
      <c r="E23" s="4">
        <v>4</v>
      </c>
      <c r="F23" s="4"/>
      <c r="G23" s="4">
        <v>0.85</v>
      </c>
      <c r="H23" s="4">
        <v>0.18</v>
      </c>
      <c r="I23" s="4">
        <v>0.5</v>
      </c>
      <c r="J23" s="4">
        <v>0.85</v>
      </c>
      <c r="K23" s="4">
        <f t="shared" ref="K23" si="1">E23*H23*I23*J23</f>
        <v>0.30599999999999999</v>
      </c>
      <c r="L23" s="97">
        <v>2.3478260869565211</v>
      </c>
      <c r="M23" s="54">
        <v>2.3478260869565211</v>
      </c>
      <c r="N23" s="54" t="s">
        <v>192</v>
      </c>
      <c r="O23" s="137"/>
    </row>
    <row r="24" spans="1:15" x14ac:dyDescent="0.3">
      <c r="A24" s="157"/>
      <c r="B24" s="136" t="s">
        <v>193</v>
      </c>
      <c r="C24" s="149"/>
      <c r="D24" s="54" t="s">
        <v>40</v>
      </c>
      <c r="E24" s="54">
        <v>5</v>
      </c>
      <c r="F24" s="64">
        <v>1.0999999999999999E-2</v>
      </c>
      <c r="G24" s="65">
        <v>0.9</v>
      </c>
      <c r="H24" s="65">
        <v>2.4444444444444442E-2</v>
      </c>
      <c r="I24" s="65">
        <v>0.66</v>
      </c>
      <c r="J24" s="65">
        <v>0.85</v>
      </c>
      <c r="K24" s="65">
        <f>E24*H24*I24*J24</f>
        <v>6.8566666666666665E-2</v>
      </c>
      <c r="L24" s="97">
        <v>0.35773913043478262</v>
      </c>
      <c r="M24" s="152">
        <v>0.35773913043478262</v>
      </c>
      <c r="N24" s="154" t="s">
        <v>194</v>
      </c>
      <c r="O24" s="137"/>
    </row>
    <row r="25" spans="1:15" ht="15" thickBot="1" x14ac:dyDescent="0.35">
      <c r="A25" s="157"/>
      <c r="B25" s="138"/>
      <c r="C25" s="53" t="s">
        <v>8</v>
      </c>
      <c r="D25" s="54" t="s">
        <v>40</v>
      </c>
      <c r="E25">
        <v>1</v>
      </c>
      <c r="F25" s="64">
        <v>1.0999999999999999E-2</v>
      </c>
      <c r="G25" s="4">
        <v>0.9</v>
      </c>
      <c r="H25" s="39">
        <v>1.2500000000000001E-2</v>
      </c>
      <c r="I25" s="39">
        <v>0.66</v>
      </c>
      <c r="J25" s="39">
        <v>0.85</v>
      </c>
      <c r="K25" s="65">
        <v>0.01</v>
      </c>
      <c r="L25" s="97">
        <v>2.4E-2</v>
      </c>
      <c r="M25" s="153"/>
      <c r="N25" s="155"/>
      <c r="O25" s="137"/>
    </row>
    <row r="26" spans="1:15" x14ac:dyDescent="0.3">
      <c r="A26" s="157"/>
      <c r="B26" s="54" t="s">
        <v>195</v>
      </c>
      <c r="C26" s="145" t="s">
        <v>217</v>
      </c>
      <c r="D26" s="54" t="s">
        <v>38</v>
      </c>
      <c r="E26" s="54">
        <v>1</v>
      </c>
      <c r="F26" s="64">
        <v>1.2</v>
      </c>
      <c r="G26" s="65">
        <v>0.85</v>
      </c>
      <c r="H26" s="65">
        <v>1.411764705882353</v>
      </c>
      <c r="I26" s="65">
        <v>0.8</v>
      </c>
      <c r="J26" s="65">
        <v>0.9</v>
      </c>
      <c r="K26" s="65">
        <v>4</v>
      </c>
      <c r="L26" s="97">
        <v>4.4194373401534532</v>
      </c>
      <c r="M26" s="54">
        <v>4.4194373401534532</v>
      </c>
      <c r="N26" s="54" t="s">
        <v>188</v>
      </c>
      <c r="O26" s="137"/>
    </row>
    <row r="27" spans="1:15" x14ac:dyDescent="0.3">
      <c r="A27" s="157"/>
      <c r="B27" s="54" t="s">
        <v>197</v>
      </c>
      <c r="C27" s="145"/>
      <c r="D27" s="54" t="s">
        <v>191</v>
      </c>
      <c r="E27" s="54">
        <v>4</v>
      </c>
      <c r="F27" s="64">
        <v>0.18</v>
      </c>
      <c r="G27" s="65">
        <v>0.85</v>
      </c>
      <c r="H27" s="65">
        <v>0.18</v>
      </c>
      <c r="I27" s="65">
        <v>0.5</v>
      </c>
      <c r="J27" s="65">
        <v>0.85</v>
      </c>
      <c r="K27" s="65">
        <v>0.53999999999999992</v>
      </c>
      <c r="L27" s="97">
        <v>2.3478260869565211</v>
      </c>
      <c r="M27" s="54">
        <v>2.3478260869565211</v>
      </c>
      <c r="N27" s="54" t="s">
        <v>192</v>
      </c>
      <c r="O27" s="137"/>
    </row>
    <row r="28" spans="1:15" ht="15" thickBot="1" x14ac:dyDescent="0.35">
      <c r="A28" s="157"/>
      <c r="B28" s="136" t="s">
        <v>198</v>
      </c>
      <c r="C28" s="145"/>
      <c r="D28" s="54" t="s">
        <v>40</v>
      </c>
      <c r="E28" s="54">
        <v>4</v>
      </c>
      <c r="F28" s="64">
        <v>2.1999999999999999E-2</v>
      </c>
      <c r="G28" s="4">
        <v>0.9</v>
      </c>
      <c r="H28" s="4">
        <f>F28/G28</f>
        <v>2.4444444444444442E-2</v>
      </c>
      <c r="I28" s="4">
        <v>0.66</v>
      </c>
      <c r="J28" s="4">
        <v>0.85</v>
      </c>
      <c r="K28" s="65">
        <v>8.7120000000000003E-2</v>
      </c>
      <c r="L28" s="97">
        <v>0.37878260869565217</v>
      </c>
      <c r="M28" s="136">
        <v>0.37878260869565217</v>
      </c>
      <c r="N28" s="136" t="s">
        <v>194</v>
      </c>
      <c r="O28" s="137"/>
    </row>
    <row r="29" spans="1:15" ht="15" thickBot="1" x14ac:dyDescent="0.35">
      <c r="A29" s="157"/>
      <c r="B29" s="138"/>
      <c r="C29" s="53" t="s">
        <v>8</v>
      </c>
      <c r="D29" s="54" t="s">
        <v>40</v>
      </c>
      <c r="E29" s="54">
        <v>2</v>
      </c>
      <c r="F29" s="64">
        <v>1.0999999999999999E-2</v>
      </c>
      <c r="G29" s="4">
        <v>0.9</v>
      </c>
      <c r="H29" s="39">
        <v>1.2500000000000001E-2</v>
      </c>
      <c r="I29" s="39">
        <v>0.66</v>
      </c>
      <c r="J29" s="39">
        <v>0.85</v>
      </c>
      <c r="K29" s="65">
        <v>0.01</v>
      </c>
      <c r="L29" s="97">
        <v>2.4E-2</v>
      </c>
      <c r="M29" s="138"/>
      <c r="N29" s="138"/>
      <c r="O29" s="137"/>
    </row>
    <row r="30" spans="1:15" x14ac:dyDescent="0.3">
      <c r="A30" s="157"/>
      <c r="B30" s="54" t="s">
        <v>199</v>
      </c>
      <c r="C30" s="53"/>
      <c r="D30" s="54" t="s">
        <v>38</v>
      </c>
      <c r="E30" s="54">
        <v>1</v>
      </c>
      <c r="F30" s="64">
        <v>1.2</v>
      </c>
      <c r="G30" s="65">
        <v>0.85</v>
      </c>
      <c r="H30" s="65">
        <v>1.411764705882353</v>
      </c>
      <c r="I30" s="65">
        <v>0.8</v>
      </c>
      <c r="J30" s="65">
        <v>0.9</v>
      </c>
      <c r="K30" s="65">
        <v>1.44</v>
      </c>
      <c r="L30" s="97">
        <v>4.4194373401534532</v>
      </c>
      <c r="M30" s="54">
        <v>4.4194373401534532</v>
      </c>
      <c r="N30" s="54" t="s">
        <v>188</v>
      </c>
      <c r="O30" s="137"/>
    </row>
    <row r="31" spans="1:15" ht="43.2" customHeight="1" x14ac:dyDescent="0.3">
      <c r="A31" s="157"/>
      <c r="B31" s="54" t="s">
        <v>200</v>
      </c>
      <c r="C31" s="148" t="s">
        <v>201</v>
      </c>
      <c r="D31" s="54" t="s">
        <v>191</v>
      </c>
      <c r="E31" s="54">
        <v>6</v>
      </c>
      <c r="F31" s="64">
        <v>0.18</v>
      </c>
      <c r="G31" s="65">
        <v>0.85</v>
      </c>
      <c r="H31" s="65">
        <v>0.21176470588235294</v>
      </c>
      <c r="I31" s="65">
        <v>0.5</v>
      </c>
      <c r="J31" s="65">
        <v>0.85</v>
      </c>
      <c r="K31" s="65">
        <v>0.53999999999999992</v>
      </c>
      <c r="L31" s="97">
        <v>0.4</v>
      </c>
      <c r="M31" s="54">
        <v>2.3478260869565211</v>
      </c>
      <c r="N31" s="54" t="s">
        <v>192</v>
      </c>
      <c r="O31" s="137"/>
    </row>
    <row r="32" spans="1:15" x14ac:dyDescent="0.3">
      <c r="A32" s="157"/>
      <c r="B32" s="54" t="s">
        <v>202</v>
      </c>
      <c r="C32" s="149"/>
      <c r="D32" s="54" t="s">
        <v>40</v>
      </c>
      <c r="E32" s="54">
        <v>4</v>
      </c>
      <c r="F32" s="64">
        <v>2.8500000000000001E-2</v>
      </c>
      <c r="G32" s="65">
        <v>0.9</v>
      </c>
      <c r="H32" s="65">
        <v>3.1666666666666669E-2</v>
      </c>
      <c r="I32" s="65">
        <v>0.66</v>
      </c>
      <c r="J32" s="65">
        <v>0.85</v>
      </c>
      <c r="K32" s="65">
        <v>0.10659</v>
      </c>
      <c r="L32" s="97">
        <v>0.46343478260869569</v>
      </c>
      <c r="M32" s="54">
        <v>0.46343478260869569</v>
      </c>
      <c r="N32" s="54" t="s">
        <v>194</v>
      </c>
      <c r="O32" s="137"/>
    </row>
    <row r="33" spans="1:15" x14ac:dyDescent="0.3">
      <c r="A33" s="157"/>
      <c r="B33" s="54" t="s">
        <v>203</v>
      </c>
      <c r="C33" s="146" t="s">
        <v>100</v>
      </c>
      <c r="D33" s="54" t="s">
        <v>191</v>
      </c>
      <c r="E33" s="54">
        <v>6</v>
      </c>
      <c r="F33" s="64">
        <v>0.45</v>
      </c>
      <c r="G33" s="65">
        <v>0.85</v>
      </c>
      <c r="H33" s="65">
        <v>0.52941176470588236</v>
      </c>
      <c r="I33" s="65">
        <v>0.5</v>
      </c>
      <c r="J33" s="65">
        <v>0.85</v>
      </c>
      <c r="K33" s="65">
        <v>0.9</v>
      </c>
      <c r="L33" s="97">
        <v>3.9130434782608696</v>
      </c>
      <c r="M33" s="54">
        <v>3.9130434782608696</v>
      </c>
      <c r="N33" s="54" t="s">
        <v>192</v>
      </c>
      <c r="O33" s="137"/>
    </row>
    <row r="34" spans="1:15" x14ac:dyDescent="0.3">
      <c r="A34" s="157"/>
      <c r="B34" s="54" t="s">
        <v>204</v>
      </c>
      <c r="C34" s="146"/>
      <c r="D34" s="54" t="s">
        <v>40</v>
      </c>
      <c r="E34" s="54">
        <v>5</v>
      </c>
      <c r="F34" s="64">
        <v>3.5499999999999997E-2</v>
      </c>
      <c r="G34" s="65">
        <v>0.9</v>
      </c>
      <c r="H34" s="65">
        <v>3.9444444444444442E-2</v>
      </c>
      <c r="I34" s="65">
        <v>0.66</v>
      </c>
      <c r="J34" s="65">
        <v>0.85</v>
      </c>
      <c r="K34" s="65">
        <v>6.6384999999999986E-2</v>
      </c>
      <c r="L34" s="97">
        <v>0.28863043478260864</v>
      </c>
      <c r="M34" s="54">
        <v>0.28863043478260864</v>
      </c>
      <c r="N34" s="54" t="s">
        <v>194</v>
      </c>
      <c r="O34" s="137"/>
    </row>
    <row r="35" spans="1:15" ht="15" thickBot="1" x14ac:dyDescent="0.35">
      <c r="A35" s="158"/>
      <c r="B35" s="54" t="s">
        <v>205</v>
      </c>
      <c r="C35" s="147"/>
      <c r="D35" s="57" t="s">
        <v>206</v>
      </c>
      <c r="E35" s="57">
        <v>1</v>
      </c>
      <c r="F35" s="70">
        <v>0.75</v>
      </c>
      <c r="G35" s="71">
        <v>0.85</v>
      </c>
      <c r="H35" s="71">
        <v>0.88235294117647056</v>
      </c>
      <c r="I35" s="71">
        <v>0.9</v>
      </c>
      <c r="J35" s="71">
        <v>1</v>
      </c>
      <c r="K35" s="71">
        <v>0.79411764705882348</v>
      </c>
      <c r="L35" s="98">
        <v>3.452685421994885</v>
      </c>
      <c r="M35" s="54">
        <v>3.452685421994885</v>
      </c>
      <c r="N35" s="54" t="s">
        <v>194</v>
      </c>
      <c r="O35" s="138"/>
    </row>
    <row r="36" spans="1:15" x14ac:dyDescent="0.3">
      <c r="A36" s="52"/>
      <c r="B36" s="139" t="s">
        <v>207</v>
      </c>
      <c r="C36" s="140"/>
      <c r="D36" s="140"/>
      <c r="E36" s="140"/>
      <c r="F36" s="140"/>
      <c r="G36" s="140"/>
      <c r="H36" s="140"/>
      <c r="I36" s="140"/>
      <c r="J36" s="141"/>
      <c r="K36" s="69">
        <v>6.7059044117647071</v>
      </c>
      <c r="L36" s="81">
        <v>9.6794232271430545</v>
      </c>
    </row>
    <row r="37" spans="1:15" x14ac:dyDescent="0.3">
      <c r="A37" s="55"/>
      <c r="B37" s="142" t="s">
        <v>208</v>
      </c>
      <c r="C37" s="143"/>
      <c r="D37" s="143"/>
      <c r="E37" s="143"/>
      <c r="F37" s="143"/>
      <c r="G37" s="143"/>
      <c r="H37" s="143"/>
      <c r="I37" s="143"/>
      <c r="J37" s="144"/>
      <c r="K37" s="65">
        <v>8.0470852941176485</v>
      </c>
      <c r="L37" s="65">
        <v>11.615307872571664</v>
      </c>
    </row>
    <row r="38" spans="1:15" ht="15" thickBot="1" x14ac:dyDescent="0.35">
      <c r="A38" s="56"/>
      <c r="B38" s="57"/>
      <c r="C38" s="57"/>
      <c r="D38" s="57"/>
      <c r="E38" s="57"/>
      <c r="F38" s="70"/>
      <c r="G38" s="71"/>
      <c r="H38" s="71"/>
      <c r="I38" s="71"/>
      <c r="J38" s="71"/>
      <c r="K38" s="71"/>
      <c r="L38" s="82"/>
    </row>
  </sheetData>
  <mergeCells count="32">
    <mergeCell ref="H16:I16"/>
    <mergeCell ref="K16:L16"/>
    <mergeCell ref="B2:B3"/>
    <mergeCell ref="A22:A35"/>
    <mergeCell ref="N2:N14"/>
    <mergeCell ref="B8:B9"/>
    <mergeCell ref="L8:L9"/>
    <mergeCell ref="B4:B5"/>
    <mergeCell ref="B6:B7"/>
    <mergeCell ref="A2:A12"/>
    <mergeCell ref="M8:M9"/>
    <mergeCell ref="A13:A14"/>
    <mergeCell ref="B13:B14"/>
    <mergeCell ref="L13:L14"/>
    <mergeCell ref="M13:M14"/>
    <mergeCell ref="L2:L5"/>
    <mergeCell ref="M2:M5"/>
    <mergeCell ref="H15:I15"/>
    <mergeCell ref="K15:L15"/>
    <mergeCell ref="O22:O35"/>
    <mergeCell ref="B36:J36"/>
    <mergeCell ref="B37:J37"/>
    <mergeCell ref="C26:C28"/>
    <mergeCell ref="C33:C35"/>
    <mergeCell ref="C31:C32"/>
    <mergeCell ref="B28:B29"/>
    <mergeCell ref="M28:M29"/>
    <mergeCell ref="N28:N29"/>
    <mergeCell ref="B24:B25"/>
    <mergeCell ref="C22:C24"/>
    <mergeCell ref="M24:M25"/>
    <mergeCell ref="N24:N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65C2-A8B5-4D38-A3E0-CC99C7AEAF78}">
  <dimension ref="A1:O36"/>
  <sheetViews>
    <sheetView workbookViewId="0">
      <selection activeCell="T31" sqref="T31"/>
    </sheetView>
  </sheetViews>
  <sheetFormatPr defaultRowHeight="14.4" x14ac:dyDescent="0.3"/>
  <sheetData>
    <row r="1" spans="1:10" ht="117" thickBot="1" x14ac:dyDescent="0.35">
      <c r="A1" s="1" t="s">
        <v>96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ht="15" thickBot="1" x14ac:dyDescent="0.35">
      <c r="A2" s="124" t="s">
        <v>97</v>
      </c>
      <c r="B2" s="124" t="s">
        <v>117</v>
      </c>
      <c r="C2" s="3" t="s">
        <v>38</v>
      </c>
      <c r="D2" s="4">
        <v>1</v>
      </c>
      <c r="E2" s="4">
        <v>1.7</v>
      </c>
      <c r="F2" s="4">
        <v>0.85</v>
      </c>
      <c r="G2" s="4">
        <v>2</v>
      </c>
      <c r="H2" s="4">
        <v>0.8</v>
      </c>
      <c r="I2" s="4">
        <v>0.9</v>
      </c>
      <c r="J2" s="4">
        <f>D2*G2*H2*I2</f>
        <v>1.4400000000000002</v>
      </c>
    </row>
    <row r="3" spans="1:10" ht="30.6" customHeight="1" thickBot="1" x14ac:dyDescent="0.35">
      <c r="A3" s="125"/>
      <c r="B3" s="125"/>
      <c r="C3" s="3" t="s">
        <v>119</v>
      </c>
      <c r="D3" s="4">
        <v>4</v>
      </c>
      <c r="E3" s="4"/>
      <c r="F3" s="4">
        <v>0.85</v>
      </c>
      <c r="G3" s="4">
        <v>0.18</v>
      </c>
      <c r="H3" s="4">
        <v>0.5</v>
      </c>
      <c r="I3" s="4">
        <v>0.85</v>
      </c>
      <c r="J3" s="4">
        <f t="shared" ref="J3:J12" si="0">D3*G3*H3*I3</f>
        <v>0.30599999999999999</v>
      </c>
    </row>
    <row r="4" spans="1:10" ht="30.6" customHeight="1" thickBot="1" x14ac:dyDescent="0.35">
      <c r="A4" s="125"/>
      <c r="B4" s="124" t="s">
        <v>123</v>
      </c>
      <c r="C4" s="3" t="s">
        <v>38</v>
      </c>
      <c r="D4" s="4">
        <v>1</v>
      </c>
      <c r="E4" s="4">
        <v>1.7</v>
      </c>
      <c r="F4" s="4">
        <v>0.85</v>
      </c>
      <c r="G4" s="4">
        <v>2</v>
      </c>
      <c r="H4" s="4">
        <v>0.8</v>
      </c>
      <c r="I4" s="4">
        <v>0.9</v>
      </c>
      <c r="J4" s="4">
        <f>D4*G4*H4*I4</f>
        <v>1.4400000000000002</v>
      </c>
    </row>
    <row r="5" spans="1:10" ht="15" thickBot="1" x14ac:dyDescent="0.35">
      <c r="A5" s="125"/>
      <c r="B5" s="127"/>
      <c r="C5" s="3" t="s">
        <v>49</v>
      </c>
      <c r="D5" s="4">
        <v>4</v>
      </c>
      <c r="E5" s="4"/>
      <c r="F5" s="4">
        <v>0.85</v>
      </c>
      <c r="G5" s="4">
        <v>0.18</v>
      </c>
      <c r="H5" s="4">
        <v>0.5</v>
      </c>
      <c r="I5" s="4">
        <v>0.85</v>
      </c>
      <c r="J5" s="4">
        <f t="shared" si="0"/>
        <v>0.30599999999999999</v>
      </c>
    </row>
    <row r="6" spans="1:10" ht="15" thickBot="1" x14ac:dyDescent="0.35">
      <c r="A6" s="125"/>
      <c r="B6" s="124" t="s">
        <v>124</v>
      </c>
      <c r="C6" s="3" t="s">
        <v>38</v>
      </c>
      <c r="D6" s="4">
        <v>1</v>
      </c>
      <c r="E6" s="4">
        <v>1.7</v>
      </c>
      <c r="F6" s="4">
        <v>0.85</v>
      </c>
      <c r="G6" s="4">
        <v>2</v>
      </c>
      <c r="H6" s="4">
        <v>0.8</v>
      </c>
      <c r="I6" s="4">
        <v>0.9</v>
      </c>
      <c r="J6" s="4">
        <f>D6*G6*H6*I6</f>
        <v>1.4400000000000002</v>
      </c>
    </row>
    <row r="7" spans="1:10" ht="15" thickBot="1" x14ac:dyDescent="0.35">
      <c r="A7" s="125"/>
      <c r="B7" s="127"/>
      <c r="C7" s="3" t="s">
        <v>39</v>
      </c>
      <c r="D7" s="4">
        <v>4</v>
      </c>
      <c r="E7" s="3"/>
      <c r="F7" s="4">
        <v>0.85</v>
      </c>
      <c r="G7" s="4">
        <v>0.18</v>
      </c>
      <c r="H7" s="4">
        <v>0.5</v>
      </c>
      <c r="I7" s="4">
        <v>0.85</v>
      </c>
      <c r="J7" s="4">
        <f t="shared" si="0"/>
        <v>0.30599999999999999</v>
      </c>
    </row>
    <row r="8" spans="1:10" ht="149.4" thickBot="1" x14ac:dyDescent="0.35">
      <c r="A8" s="125"/>
      <c r="B8" s="6" t="s">
        <v>116</v>
      </c>
      <c r="C8" s="3" t="s">
        <v>39</v>
      </c>
      <c r="D8" s="4">
        <v>6</v>
      </c>
      <c r="E8" s="3"/>
      <c r="F8" s="4">
        <v>0.85</v>
      </c>
      <c r="G8" s="4">
        <v>0.18</v>
      </c>
      <c r="H8" s="4">
        <v>0.5</v>
      </c>
      <c r="I8" s="4">
        <v>0.85</v>
      </c>
      <c r="J8" s="4">
        <f t="shared" si="0"/>
        <v>0.45900000000000002</v>
      </c>
    </row>
    <row r="9" spans="1:10" ht="15" thickBot="1" x14ac:dyDescent="0.35">
      <c r="A9" s="125"/>
      <c r="B9" s="124" t="s">
        <v>122</v>
      </c>
      <c r="C9" s="3" t="s">
        <v>41</v>
      </c>
      <c r="D9" s="4">
        <v>1</v>
      </c>
      <c r="E9" s="4">
        <v>0.75</v>
      </c>
      <c r="F9" s="4">
        <v>0.9</v>
      </c>
      <c r="G9" s="4">
        <f>E9/F9</f>
        <v>0.83333333333333326</v>
      </c>
      <c r="H9" s="4">
        <v>0.9</v>
      </c>
      <c r="I9" s="4">
        <v>1</v>
      </c>
      <c r="J9" s="4">
        <f t="shared" si="0"/>
        <v>0.75</v>
      </c>
    </row>
    <row r="10" spans="1:10" ht="15" thickBot="1" x14ac:dyDescent="0.35">
      <c r="A10" s="125"/>
      <c r="B10" s="125"/>
      <c r="C10" s="3" t="s">
        <v>39</v>
      </c>
      <c r="D10" s="4">
        <v>6</v>
      </c>
      <c r="E10" s="3"/>
      <c r="F10" s="4">
        <v>0.85</v>
      </c>
      <c r="G10" s="4">
        <v>0.6</v>
      </c>
      <c r="H10" s="4">
        <v>0.5</v>
      </c>
      <c r="I10" s="4">
        <v>0.85</v>
      </c>
      <c r="J10" s="4">
        <f t="shared" si="0"/>
        <v>1.5299999999999998</v>
      </c>
    </row>
    <row r="11" spans="1:10" ht="44.4" thickBot="1" x14ac:dyDescent="0.35">
      <c r="A11" s="125"/>
      <c r="B11" s="18" t="s">
        <v>85</v>
      </c>
      <c r="C11" s="3" t="s">
        <v>49</v>
      </c>
      <c r="D11" s="4">
        <v>4</v>
      </c>
      <c r="E11" s="3"/>
      <c r="F11" s="4">
        <v>0.85</v>
      </c>
      <c r="G11" s="4">
        <v>0.18</v>
      </c>
      <c r="H11" s="4">
        <v>0.5</v>
      </c>
      <c r="I11" s="4">
        <v>0.85</v>
      </c>
      <c r="J11" s="4">
        <f t="shared" si="0"/>
        <v>0.30599999999999999</v>
      </c>
    </row>
    <row r="12" spans="1:10" ht="38.4" thickBot="1" x14ac:dyDescent="0.35">
      <c r="A12" s="125"/>
      <c r="B12" s="18" t="s">
        <v>121</v>
      </c>
      <c r="C12" s="3" t="s">
        <v>49</v>
      </c>
      <c r="D12" s="4">
        <v>3</v>
      </c>
      <c r="E12" s="3"/>
      <c r="F12" s="4">
        <v>0.85</v>
      </c>
      <c r="G12" s="4">
        <v>0.18</v>
      </c>
      <c r="H12" s="4">
        <v>0.5</v>
      </c>
      <c r="I12" s="4">
        <v>0.85</v>
      </c>
      <c r="J12" s="4">
        <f t="shared" si="0"/>
        <v>0.22950000000000001</v>
      </c>
    </row>
    <row r="13" spans="1:10" ht="16.8" thickBot="1" x14ac:dyDescent="0.35">
      <c r="A13" s="127"/>
      <c r="B13" s="18" t="s">
        <v>120</v>
      </c>
      <c r="C13" s="3" t="s">
        <v>102</v>
      </c>
      <c r="D13" s="4">
        <v>22</v>
      </c>
      <c r="E13" s="3">
        <v>0.376</v>
      </c>
      <c r="F13" s="4">
        <v>0.9</v>
      </c>
      <c r="G13" s="4">
        <f>E13/F13</f>
        <v>0.41777777777777775</v>
      </c>
      <c r="H13" s="4">
        <v>0.66</v>
      </c>
      <c r="I13" s="4">
        <v>0.85</v>
      </c>
      <c r="J13" s="4">
        <f>G13*H13*I13</f>
        <v>0.23437333333333332</v>
      </c>
    </row>
    <row r="14" spans="1:10" ht="16.2" thickBot="1" x14ac:dyDescent="0.35">
      <c r="A14" s="5"/>
      <c r="B14" s="5"/>
      <c r="C14" s="5"/>
      <c r="D14" s="5"/>
      <c r="E14" s="5"/>
      <c r="F14" s="5"/>
      <c r="G14" s="5"/>
      <c r="H14" s="130" t="s">
        <v>50</v>
      </c>
      <c r="I14" s="131"/>
      <c r="J14" s="15">
        <f>SUM(J2:J13)</f>
        <v>8.7468733333333333</v>
      </c>
    </row>
    <row r="15" spans="1:10" ht="16.2" thickBot="1" x14ac:dyDescent="0.35">
      <c r="A15" s="5"/>
      <c r="B15" s="5"/>
      <c r="C15" s="5"/>
      <c r="D15" s="5"/>
      <c r="E15" s="5"/>
      <c r="F15" s="5"/>
      <c r="G15" s="5"/>
      <c r="H15" s="130" t="s">
        <v>51</v>
      </c>
      <c r="I15" s="131"/>
      <c r="J15" s="15"/>
    </row>
    <row r="19" spans="1:15" x14ac:dyDescent="0.3">
      <c r="A19" s="162"/>
      <c r="B19" s="90"/>
      <c r="C19" s="161"/>
      <c r="D19" s="90"/>
      <c r="E19" s="90"/>
      <c r="F19" s="107"/>
      <c r="G19" s="91"/>
      <c r="H19" s="91"/>
      <c r="I19" s="91"/>
      <c r="J19" s="91"/>
      <c r="K19" s="91"/>
      <c r="L19" s="108"/>
      <c r="N19" s="90"/>
      <c r="O19" s="160"/>
    </row>
    <row r="20" spans="1:15" x14ac:dyDescent="0.3">
      <c r="A20" s="162"/>
      <c r="B20" s="90"/>
      <c r="C20" s="161"/>
      <c r="D20" s="90"/>
      <c r="E20" s="90"/>
      <c r="F20" s="107"/>
      <c r="G20" s="91"/>
      <c r="H20" s="91"/>
      <c r="I20" s="91"/>
      <c r="J20" s="91"/>
      <c r="K20" s="91"/>
      <c r="L20" s="108"/>
      <c r="N20" s="90"/>
      <c r="O20" s="160"/>
    </row>
    <row r="21" spans="1:15" x14ac:dyDescent="0.3">
      <c r="A21" s="162"/>
      <c r="B21" s="90"/>
      <c r="C21" s="161"/>
      <c r="D21" s="90"/>
      <c r="E21" s="90"/>
      <c r="F21" s="107"/>
      <c r="G21" s="91"/>
      <c r="H21" s="91"/>
      <c r="I21" s="91"/>
      <c r="J21" s="91"/>
      <c r="K21" s="91"/>
      <c r="L21" s="108"/>
      <c r="N21" s="90"/>
      <c r="O21" s="160"/>
    </row>
    <row r="22" spans="1:15" x14ac:dyDescent="0.3">
      <c r="A22" s="162"/>
      <c r="B22" s="90"/>
      <c r="C22" s="161"/>
      <c r="D22" s="90"/>
      <c r="E22" s="90"/>
      <c r="F22" s="107"/>
      <c r="G22" s="91"/>
      <c r="H22" s="91"/>
      <c r="I22" s="91"/>
      <c r="J22" s="91"/>
      <c r="K22" s="91"/>
      <c r="L22" s="108"/>
      <c r="N22" s="90"/>
      <c r="O22" s="160"/>
    </row>
    <row r="23" spans="1:15" x14ac:dyDescent="0.3">
      <c r="A23" s="162"/>
      <c r="B23" s="90"/>
      <c r="C23" s="161"/>
      <c r="D23" s="90"/>
      <c r="E23" s="90"/>
      <c r="F23" s="107"/>
      <c r="G23" s="91"/>
      <c r="H23" s="91"/>
      <c r="I23" s="91"/>
      <c r="J23" s="91"/>
      <c r="K23" s="91"/>
      <c r="L23" s="108"/>
      <c r="N23" s="90"/>
      <c r="O23" s="160"/>
    </row>
    <row r="24" spans="1:15" x14ac:dyDescent="0.3">
      <c r="A24" s="162"/>
      <c r="B24" s="90"/>
      <c r="C24" s="161"/>
      <c r="D24" s="90"/>
      <c r="E24" s="90"/>
      <c r="F24" s="107"/>
      <c r="G24" s="91"/>
      <c r="H24" s="91"/>
      <c r="I24" s="91"/>
      <c r="J24" s="91"/>
      <c r="K24" s="91"/>
      <c r="L24" s="108"/>
      <c r="N24" s="90"/>
      <c r="O24" s="160"/>
    </row>
    <row r="25" spans="1:15" x14ac:dyDescent="0.3">
      <c r="A25" s="162"/>
      <c r="B25" s="90"/>
      <c r="C25" s="161"/>
      <c r="D25" s="90"/>
      <c r="E25" s="90"/>
      <c r="F25" s="107"/>
      <c r="G25" s="91"/>
      <c r="H25" s="91"/>
      <c r="I25" s="91"/>
      <c r="J25" s="91"/>
      <c r="K25" s="91"/>
      <c r="L25" s="108"/>
      <c r="N25" s="90"/>
      <c r="O25" s="160"/>
    </row>
    <row r="26" spans="1:15" x14ac:dyDescent="0.3">
      <c r="A26" s="162"/>
      <c r="B26" s="90"/>
      <c r="C26" s="161"/>
      <c r="D26" s="90"/>
      <c r="E26" s="90"/>
      <c r="F26" s="107"/>
      <c r="G26" s="91"/>
      <c r="H26" s="91"/>
      <c r="I26" s="91"/>
      <c r="J26" s="91"/>
      <c r="K26" s="91"/>
      <c r="L26" s="108"/>
      <c r="N26" s="90"/>
      <c r="O26" s="160"/>
    </row>
    <row r="27" spans="1:15" x14ac:dyDescent="0.3">
      <c r="A27" s="162"/>
      <c r="B27" s="90"/>
      <c r="C27" s="160"/>
      <c r="D27" s="90"/>
      <c r="E27" s="90"/>
      <c r="F27" s="107"/>
      <c r="G27" s="91"/>
      <c r="H27" s="91"/>
      <c r="I27" s="91"/>
      <c r="J27" s="91"/>
      <c r="K27" s="91"/>
      <c r="L27" s="108"/>
      <c r="N27" s="90"/>
      <c r="O27" s="160"/>
    </row>
    <row r="28" spans="1:15" x14ac:dyDescent="0.3">
      <c r="A28" s="162"/>
      <c r="B28" s="90"/>
      <c r="C28" s="160"/>
      <c r="D28" s="90"/>
      <c r="E28" s="90"/>
      <c r="F28" s="107"/>
      <c r="G28" s="91"/>
      <c r="H28" s="91"/>
      <c r="I28" s="91"/>
      <c r="J28" s="91"/>
      <c r="K28" s="91"/>
      <c r="L28" s="108"/>
      <c r="N28" s="90"/>
      <c r="O28" s="160"/>
    </row>
    <row r="29" spans="1:15" x14ac:dyDescent="0.3">
      <c r="A29" s="162"/>
      <c r="B29" s="90"/>
      <c r="C29" s="160"/>
      <c r="D29" s="90"/>
      <c r="E29" s="90"/>
      <c r="F29" s="107"/>
      <c r="G29" s="91"/>
      <c r="H29" s="91"/>
      <c r="I29" s="91"/>
      <c r="J29" s="91"/>
      <c r="K29" s="91"/>
      <c r="L29" s="108"/>
      <c r="N29" s="90"/>
      <c r="O29" s="160"/>
    </row>
    <row r="30" spans="1:15" x14ac:dyDescent="0.3">
      <c r="A30" s="162"/>
      <c r="B30" s="90"/>
      <c r="C30" s="160"/>
      <c r="D30" s="90"/>
      <c r="E30" s="90"/>
      <c r="F30" s="107"/>
      <c r="G30" s="91"/>
      <c r="H30" s="91"/>
      <c r="I30" s="91"/>
      <c r="J30" s="91"/>
      <c r="K30" s="91"/>
      <c r="L30" s="108"/>
      <c r="N30" s="90"/>
      <c r="O30" s="160"/>
    </row>
    <row r="31" spans="1:15" x14ac:dyDescent="0.3">
      <c r="A31" s="162"/>
      <c r="B31" s="90"/>
      <c r="C31" s="160"/>
      <c r="D31" s="90"/>
      <c r="E31" s="90"/>
      <c r="F31" s="107"/>
      <c r="G31" s="91"/>
      <c r="H31" s="91"/>
      <c r="I31" s="91"/>
      <c r="J31" s="91"/>
      <c r="K31" s="91"/>
      <c r="L31" s="108"/>
      <c r="N31" s="90"/>
      <c r="O31" s="160"/>
    </row>
    <row r="32" spans="1:15" x14ac:dyDescent="0.3">
      <c r="A32" s="162"/>
      <c r="B32" s="90"/>
      <c r="C32" s="160"/>
      <c r="D32" s="90"/>
      <c r="E32" s="90"/>
      <c r="F32" s="107"/>
      <c r="G32" s="91"/>
      <c r="H32" s="91"/>
      <c r="I32" s="91"/>
      <c r="J32" s="91"/>
      <c r="K32" s="91"/>
      <c r="L32" s="108"/>
      <c r="N32" s="90"/>
      <c r="O32" s="160"/>
    </row>
    <row r="33" spans="1:15" x14ac:dyDescent="0.3">
      <c r="B33" s="160"/>
      <c r="C33" s="160"/>
      <c r="D33" s="160"/>
      <c r="E33" s="160"/>
      <c r="F33" s="160"/>
      <c r="G33" s="160"/>
      <c r="H33" s="160"/>
      <c r="I33" s="160"/>
      <c r="J33" s="160"/>
      <c r="K33" s="91"/>
      <c r="L33" s="109"/>
    </row>
    <row r="34" spans="1:15" x14ac:dyDescent="0.3">
      <c r="B34" s="160"/>
      <c r="C34" s="160"/>
      <c r="D34" s="160"/>
      <c r="E34" s="160"/>
      <c r="F34" s="160"/>
      <c r="G34" s="160"/>
      <c r="H34" s="160"/>
      <c r="I34" s="160"/>
      <c r="J34" s="160"/>
      <c r="K34" s="91"/>
      <c r="L34" s="91"/>
    </row>
    <row r="35" spans="1:15" x14ac:dyDescent="0.3">
      <c r="F35" s="110"/>
      <c r="G35" s="111"/>
      <c r="H35" s="111"/>
      <c r="I35" s="111"/>
      <c r="J35" s="111"/>
      <c r="K35" s="111"/>
      <c r="L35" s="108"/>
    </row>
    <row r="36" spans="1:15" x14ac:dyDescent="0.3">
      <c r="A36" s="90"/>
      <c r="B36" s="90"/>
      <c r="C36" s="106"/>
      <c r="D36" s="90"/>
      <c r="E36" s="90"/>
      <c r="F36" s="107"/>
      <c r="G36" s="91"/>
      <c r="H36" s="91"/>
      <c r="I36" s="91"/>
      <c r="J36" s="91"/>
      <c r="K36" s="91"/>
      <c r="L36" s="109"/>
      <c r="M36" s="90"/>
      <c r="N36" s="90"/>
      <c r="O36" s="90"/>
    </row>
  </sheetData>
  <mergeCells count="16">
    <mergeCell ref="A2:A13"/>
    <mergeCell ref="B2:B3"/>
    <mergeCell ref="B9:B10"/>
    <mergeCell ref="B6:B7"/>
    <mergeCell ref="B4:B5"/>
    <mergeCell ref="B34:J34"/>
    <mergeCell ref="C27:C29"/>
    <mergeCell ref="C25:C26"/>
    <mergeCell ref="A19:A32"/>
    <mergeCell ref="H14:I14"/>
    <mergeCell ref="H15:I15"/>
    <mergeCell ref="O19:O32"/>
    <mergeCell ref="C30:C32"/>
    <mergeCell ref="C19:C21"/>
    <mergeCell ref="C22:C24"/>
    <mergeCell ref="B33:J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C2EC-8F3F-4798-8489-0A8AA7B4DE57}">
  <dimension ref="A1:O34"/>
  <sheetViews>
    <sheetView topLeftCell="A17" workbookViewId="0">
      <selection activeCell="P26" sqref="P26"/>
    </sheetView>
  </sheetViews>
  <sheetFormatPr defaultRowHeight="14.4" x14ac:dyDescent="0.3"/>
  <sheetData>
    <row r="1" spans="1:15" ht="126" thickTop="1" thickBot="1" x14ac:dyDescent="0.35">
      <c r="A1" s="60" t="s">
        <v>96</v>
      </c>
      <c r="B1" s="61" t="s">
        <v>181</v>
      </c>
      <c r="C1" s="61" t="s">
        <v>28</v>
      </c>
      <c r="D1" s="61" t="s">
        <v>29</v>
      </c>
      <c r="E1" s="61" t="s">
        <v>30</v>
      </c>
      <c r="F1" s="62" t="s">
        <v>31</v>
      </c>
      <c r="G1" s="63" t="s">
        <v>32</v>
      </c>
      <c r="H1" s="63" t="s">
        <v>33</v>
      </c>
      <c r="I1" s="63" t="s">
        <v>34</v>
      </c>
      <c r="J1" s="63" t="s">
        <v>35</v>
      </c>
      <c r="K1" s="63" t="s">
        <v>36</v>
      </c>
      <c r="L1" s="95" t="s">
        <v>37</v>
      </c>
      <c r="M1" s="99" t="s">
        <v>182</v>
      </c>
      <c r="N1" s="92" t="s">
        <v>183</v>
      </c>
      <c r="O1" s="93" t="s">
        <v>184</v>
      </c>
    </row>
    <row r="2" spans="1:15" x14ac:dyDescent="0.3">
      <c r="A2" s="156" t="s">
        <v>185</v>
      </c>
      <c r="B2" s="58" t="s">
        <v>186</v>
      </c>
      <c r="C2" s="166" t="s">
        <v>187</v>
      </c>
      <c r="D2" s="58" t="s">
        <v>38</v>
      </c>
      <c r="E2" s="58">
        <v>1</v>
      </c>
      <c r="F2" s="68">
        <v>1.2</v>
      </c>
      <c r="G2" s="69">
        <v>0.85</v>
      </c>
      <c r="H2" s="69">
        <v>1.411764705882353</v>
      </c>
      <c r="I2" s="69">
        <v>0.8</v>
      </c>
      <c r="J2" s="69">
        <v>0.9</v>
      </c>
      <c r="K2" s="69">
        <v>1.0164705882352942</v>
      </c>
      <c r="L2" s="96">
        <v>4.4194373401534532</v>
      </c>
      <c r="M2" s="54">
        <v>4.4194373401534532</v>
      </c>
      <c r="N2" s="54" t="s">
        <v>188</v>
      </c>
      <c r="O2" s="136" t="s">
        <v>189</v>
      </c>
    </row>
    <row r="3" spans="1:15" x14ac:dyDescent="0.3">
      <c r="A3" s="157"/>
      <c r="B3" s="54" t="s">
        <v>190</v>
      </c>
      <c r="C3" s="145"/>
      <c r="D3" s="54" t="s">
        <v>191</v>
      </c>
      <c r="E3" s="54">
        <v>6</v>
      </c>
      <c r="F3" s="64">
        <v>0.18</v>
      </c>
      <c r="G3" s="65">
        <v>0.85</v>
      </c>
      <c r="H3" s="65">
        <v>0.21176470588235294</v>
      </c>
      <c r="I3" s="65">
        <v>0.5</v>
      </c>
      <c r="J3" s="65">
        <v>0.85</v>
      </c>
      <c r="K3" s="65">
        <v>0.53999999999999992</v>
      </c>
      <c r="L3" s="97">
        <v>2.3478260869565211</v>
      </c>
      <c r="M3" s="54">
        <v>2.3478260869565211</v>
      </c>
      <c r="N3" s="54" t="s">
        <v>192</v>
      </c>
      <c r="O3" s="137"/>
    </row>
    <row r="4" spans="1:15" x14ac:dyDescent="0.3">
      <c r="A4" s="157"/>
      <c r="B4" s="54" t="s">
        <v>193</v>
      </c>
      <c r="C4" s="145"/>
      <c r="D4" s="54" t="s">
        <v>40</v>
      </c>
      <c r="E4" s="54">
        <v>6</v>
      </c>
      <c r="F4" s="64">
        <v>2.1999999999999999E-2</v>
      </c>
      <c r="G4" s="65">
        <v>0.9</v>
      </c>
      <c r="H4" s="65">
        <v>2.4444444444444442E-2</v>
      </c>
      <c r="I4" s="65">
        <v>0.66</v>
      </c>
      <c r="J4" s="65">
        <v>0.85</v>
      </c>
      <c r="K4" s="65">
        <v>8.2280000000000006E-2</v>
      </c>
      <c r="L4" s="97">
        <v>0.35773913043478262</v>
      </c>
      <c r="M4" s="54">
        <v>0.35773913043478262</v>
      </c>
      <c r="N4" s="54" t="s">
        <v>194</v>
      </c>
      <c r="O4" s="137"/>
    </row>
    <row r="5" spans="1:15" x14ac:dyDescent="0.3">
      <c r="A5" s="157"/>
      <c r="B5" s="54" t="s">
        <v>195</v>
      </c>
      <c r="C5" s="145" t="s">
        <v>196</v>
      </c>
      <c r="D5" s="54" t="s">
        <v>38</v>
      </c>
      <c r="E5" s="54">
        <v>1</v>
      </c>
      <c r="F5" s="64">
        <v>1.2</v>
      </c>
      <c r="G5" s="65">
        <v>0.85</v>
      </c>
      <c r="H5" s="65">
        <v>1.411764705882353</v>
      </c>
      <c r="I5" s="65">
        <v>0.8</v>
      </c>
      <c r="J5" s="65">
        <v>0.9</v>
      </c>
      <c r="K5" s="65">
        <v>1.0164705882352942</v>
      </c>
      <c r="L5" s="97">
        <v>4.4194373401534532</v>
      </c>
      <c r="M5" s="54">
        <v>4.4194373401534532</v>
      </c>
      <c r="N5" s="54" t="s">
        <v>188</v>
      </c>
      <c r="O5" s="137"/>
    </row>
    <row r="6" spans="1:15" x14ac:dyDescent="0.3">
      <c r="A6" s="157"/>
      <c r="B6" s="54" t="s">
        <v>197</v>
      </c>
      <c r="C6" s="145"/>
      <c r="D6" s="54" t="s">
        <v>191</v>
      </c>
      <c r="E6" s="54">
        <v>6</v>
      </c>
      <c r="F6" s="64">
        <v>0.18</v>
      </c>
      <c r="G6" s="65">
        <v>0.85</v>
      </c>
      <c r="H6" s="65">
        <v>0.21176470588235294</v>
      </c>
      <c r="I6" s="65">
        <v>0.5</v>
      </c>
      <c r="J6" s="65">
        <v>0.85</v>
      </c>
      <c r="K6" s="65">
        <v>0.53999999999999992</v>
      </c>
      <c r="L6" s="97">
        <v>2.3478260869565211</v>
      </c>
      <c r="M6" s="54">
        <v>2.3478260869565211</v>
      </c>
      <c r="N6" s="54" t="s">
        <v>192</v>
      </c>
      <c r="O6" s="137"/>
    </row>
    <row r="7" spans="1:15" x14ac:dyDescent="0.3">
      <c r="A7" s="157"/>
      <c r="B7" s="54" t="s">
        <v>198</v>
      </c>
      <c r="C7" s="145"/>
      <c r="D7" s="54" t="s">
        <v>40</v>
      </c>
      <c r="E7" s="54">
        <v>6</v>
      </c>
      <c r="F7" s="64">
        <v>2.1999999999999999E-2</v>
      </c>
      <c r="G7" s="65">
        <v>0.85</v>
      </c>
      <c r="H7" s="65">
        <v>2.5882352941176471E-2</v>
      </c>
      <c r="I7" s="65">
        <v>0.66</v>
      </c>
      <c r="J7" s="65">
        <v>0.85</v>
      </c>
      <c r="K7" s="65">
        <v>8.7120000000000003E-2</v>
      </c>
      <c r="L7" s="97">
        <v>0.37878260869565217</v>
      </c>
      <c r="M7" s="54">
        <v>0.37878260869565217</v>
      </c>
      <c r="N7" s="54" t="s">
        <v>194</v>
      </c>
      <c r="O7" s="137"/>
    </row>
    <row r="8" spans="1:15" x14ac:dyDescent="0.3">
      <c r="A8" s="157"/>
      <c r="B8" s="54" t="s">
        <v>199</v>
      </c>
      <c r="C8" s="53"/>
      <c r="D8" s="54" t="s">
        <v>38</v>
      </c>
      <c r="E8" s="54">
        <v>1</v>
      </c>
      <c r="F8" s="64">
        <v>1.2</v>
      </c>
      <c r="G8" s="65">
        <v>0.85</v>
      </c>
      <c r="H8" s="65">
        <v>1.411764705882353</v>
      </c>
      <c r="I8" s="65">
        <v>0.8</v>
      </c>
      <c r="J8" s="65">
        <v>0.9</v>
      </c>
      <c r="K8" s="65">
        <v>1.0164705882352942</v>
      </c>
      <c r="L8" s="97">
        <v>4.4194373401534532</v>
      </c>
      <c r="M8" s="54">
        <v>4.4194373401534532</v>
      </c>
      <c r="N8" s="54" t="s">
        <v>188</v>
      </c>
      <c r="O8" s="137"/>
    </row>
    <row r="9" spans="1:15" ht="43.2" x14ac:dyDescent="0.3">
      <c r="A9" s="157"/>
      <c r="B9" s="54" t="s">
        <v>200</v>
      </c>
      <c r="C9" s="104" t="s">
        <v>201</v>
      </c>
      <c r="D9" s="54" t="s">
        <v>191</v>
      </c>
      <c r="E9" s="54">
        <v>6</v>
      </c>
      <c r="F9" s="64">
        <v>0.18</v>
      </c>
      <c r="G9" s="65">
        <v>0.85</v>
      </c>
      <c r="H9" s="65">
        <v>0.21176470588235294</v>
      </c>
      <c r="I9" s="65">
        <v>0.5</v>
      </c>
      <c r="J9" s="65">
        <v>0.85</v>
      </c>
      <c r="K9" s="65">
        <v>0.53999999999999992</v>
      </c>
      <c r="L9" s="97">
        <v>2.3478260869565211</v>
      </c>
      <c r="M9" s="54">
        <v>2.3478260869565211</v>
      </c>
      <c r="N9" s="54" t="s">
        <v>192</v>
      </c>
      <c r="O9" s="137"/>
    </row>
    <row r="10" spans="1:15" x14ac:dyDescent="0.3">
      <c r="A10" s="157"/>
      <c r="B10" s="54" t="s">
        <v>202</v>
      </c>
      <c r="C10" s="104"/>
      <c r="D10" s="54" t="s">
        <v>40</v>
      </c>
      <c r="E10" s="54">
        <v>6</v>
      </c>
      <c r="F10" s="64">
        <v>2.8500000000000001E-2</v>
      </c>
      <c r="G10" s="65">
        <v>0.9</v>
      </c>
      <c r="H10" s="65">
        <v>3.1666666666666669E-2</v>
      </c>
      <c r="I10" s="65">
        <v>0.66</v>
      </c>
      <c r="J10" s="65">
        <v>0.85</v>
      </c>
      <c r="K10" s="65">
        <v>0.10659</v>
      </c>
      <c r="L10" s="97">
        <v>0.46343478260869569</v>
      </c>
      <c r="M10" s="54">
        <v>0.46343478260869569</v>
      </c>
      <c r="N10" s="54" t="s">
        <v>194</v>
      </c>
      <c r="O10" s="137"/>
    </row>
    <row r="11" spans="1:15" x14ac:dyDescent="0.3">
      <c r="A11" s="157"/>
      <c r="B11" s="54" t="s">
        <v>203</v>
      </c>
      <c r="C11" s="146" t="s">
        <v>100</v>
      </c>
      <c r="D11" s="54" t="s">
        <v>191</v>
      </c>
      <c r="E11" s="54">
        <v>4</v>
      </c>
      <c r="F11" s="64">
        <v>0.45</v>
      </c>
      <c r="G11" s="65">
        <v>0.85</v>
      </c>
      <c r="H11" s="65">
        <v>0.52941176470588236</v>
      </c>
      <c r="I11" s="65">
        <v>0.5</v>
      </c>
      <c r="J11" s="65">
        <v>0.85</v>
      </c>
      <c r="K11" s="65">
        <v>0.9</v>
      </c>
      <c r="L11" s="97">
        <v>3.9130434782608696</v>
      </c>
      <c r="M11" s="54">
        <v>3.9130434782608696</v>
      </c>
      <c r="N11" s="54" t="s">
        <v>192</v>
      </c>
      <c r="O11" s="137"/>
    </row>
    <row r="12" spans="1:15" x14ac:dyDescent="0.3">
      <c r="A12" s="157"/>
      <c r="B12" s="54" t="s">
        <v>204</v>
      </c>
      <c r="C12" s="146"/>
      <c r="D12" s="54" t="s">
        <v>40</v>
      </c>
      <c r="E12" s="54">
        <v>3</v>
      </c>
      <c r="F12" s="64">
        <v>3.5499999999999997E-2</v>
      </c>
      <c r="G12" s="65">
        <v>0.9</v>
      </c>
      <c r="H12" s="65">
        <v>3.9444444444444442E-2</v>
      </c>
      <c r="I12" s="65">
        <v>0.66</v>
      </c>
      <c r="J12" s="65">
        <v>0.85</v>
      </c>
      <c r="K12" s="65">
        <v>6.6384999999999986E-2</v>
      </c>
      <c r="L12" s="97">
        <v>0.28863043478260864</v>
      </c>
      <c r="M12" s="54">
        <v>0.28863043478260864</v>
      </c>
      <c r="N12" s="54" t="s">
        <v>194</v>
      </c>
      <c r="O12" s="137"/>
    </row>
    <row r="13" spans="1:15" ht="15" thickBot="1" x14ac:dyDescent="0.35">
      <c r="A13" s="158"/>
      <c r="B13" s="54" t="s">
        <v>205</v>
      </c>
      <c r="C13" s="147"/>
      <c r="D13" s="57" t="s">
        <v>206</v>
      </c>
      <c r="E13" s="57">
        <v>1</v>
      </c>
      <c r="F13" s="70">
        <v>0.75</v>
      </c>
      <c r="G13" s="71">
        <v>0.85</v>
      </c>
      <c r="H13" s="71">
        <v>0.88235294117647056</v>
      </c>
      <c r="I13" s="71">
        <v>0.9</v>
      </c>
      <c r="J13" s="71">
        <v>1</v>
      </c>
      <c r="K13" s="71">
        <v>0.79411764705882348</v>
      </c>
      <c r="L13" s="98">
        <v>3.452685421994885</v>
      </c>
      <c r="M13" s="54">
        <v>3.452685421994885</v>
      </c>
      <c r="N13" s="54" t="s">
        <v>194</v>
      </c>
      <c r="O13" s="138"/>
    </row>
    <row r="14" spans="1:15" x14ac:dyDescent="0.3">
      <c r="A14" s="52"/>
      <c r="B14" s="139" t="s">
        <v>207</v>
      </c>
      <c r="C14" s="140"/>
      <c r="D14" s="140"/>
      <c r="E14" s="140"/>
      <c r="F14" s="140"/>
      <c r="G14" s="140"/>
      <c r="H14" s="140"/>
      <c r="I14" s="140"/>
      <c r="J14" s="141"/>
      <c r="K14" s="69">
        <v>6.7059044117647071</v>
      </c>
      <c r="L14" s="81">
        <v>9.6794232271430545</v>
      </c>
    </row>
    <row r="15" spans="1:15" x14ac:dyDescent="0.3">
      <c r="A15" s="55"/>
      <c r="B15" s="142" t="s">
        <v>208</v>
      </c>
      <c r="C15" s="143"/>
      <c r="D15" s="143"/>
      <c r="E15" s="143"/>
      <c r="F15" s="143"/>
      <c r="G15" s="143"/>
      <c r="H15" s="143"/>
      <c r="I15" s="143"/>
      <c r="J15" s="144"/>
      <c r="K15" s="65">
        <v>8.0470852941176485</v>
      </c>
      <c r="L15" s="65">
        <v>11.615307872571664</v>
      </c>
    </row>
    <row r="16" spans="1:15" ht="15" thickBot="1" x14ac:dyDescent="0.35">
      <c r="A16" s="56"/>
      <c r="B16" s="57"/>
      <c r="C16" s="57"/>
      <c r="D16" s="57"/>
      <c r="E16" s="57"/>
      <c r="F16" s="70"/>
      <c r="G16" s="71"/>
      <c r="H16" s="71"/>
      <c r="I16" s="71"/>
      <c r="J16" s="71"/>
      <c r="K16" s="71"/>
      <c r="L16" s="82"/>
    </row>
    <row r="17" spans="1:15" x14ac:dyDescent="0.3">
      <c r="A17" s="163" t="s">
        <v>209</v>
      </c>
      <c r="B17" s="59" t="s">
        <v>186</v>
      </c>
      <c r="C17" s="149" t="s">
        <v>187</v>
      </c>
      <c r="D17" s="59" t="s">
        <v>38</v>
      </c>
      <c r="E17" s="59">
        <v>1</v>
      </c>
      <c r="F17" s="66">
        <v>1.2</v>
      </c>
      <c r="G17" s="67">
        <v>0.85</v>
      </c>
      <c r="H17" s="67">
        <v>1.411764705882353</v>
      </c>
      <c r="I17" s="67">
        <v>0.8</v>
      </c>
      <c r="J17" s="67">
        <v>0.9</v>
      </c>
      <c r="K17" s="67">
        <v>1.0164705882352942</v>
      </c>
      <c r="L17" s="100">
        <v>4.4194373401534532</v>
      </c>
      <c r="M17" s="94"/>
      <c r="N17" s="54" t="s">
        <v>188</v>
      </c>
      <c r="O17" s="146" t="s">
        <v>210</v>
      </c>
    </row>
    <row r="18" spans="1:15" x14ac:dyDescent="0.3">
      <c r="A18" s="164"/>
      <c r="B18" s="54" t="s">
        <v>190</v>
      </c>
      <c r="C18" s="145"/>
      <c r="D18" s="54" t="s">
        <v>191</v>
      </c>
      <c r="E18" s="54">
        <v>6</v>
      </c>
      <c r="F18" s="64">
        <v>0.16</v>
      </c>
      <c r="G18" s="65">
        <v>0.85</v>
      </c>
      <c r="H18" s="65">
        <v>0.18823529411764706</v>
      </c>
      <c r="I18" s="65">
        <v>0.5</v>
      </c>
      <c r="J18" s="65">
        <v>0.85</v>
      </c>
      <c r="K18" s="65">
        <v>0.48</v>
      </c>
      <c r="L18" s="97">
        <v>2.0869565217391304</v>
      </c>
      <c r="M18" s="94"/>
      <c r="N18" s="54" t="s">
        <v>192</v>
      </c>
      <c r="O18" s="146"/>
    </row>
    <row r="19" spans="1:15" x14ac:dyDescent="0.3">
      <c r="A19" s="164"/>
      <c r="B19" s="54" t="s">
        <v>193</v>
      </c>
      <c r="C19" s="145"/>
      <c r="D19" s="54" t="s">
        <v>40</v>
      </c>
      <c r="E19" s="54">
        <v>6</v>
      </c>
      <c r="F19" s="64">
        <v>2.1999999999999999E-2</v>
      </c>
      <c r="G19" s="65">
        <v>0.9</v>
      </c>
      <c r="H19" s="65">
        <v>2.4444444444444442E-2</v>
      </c>
      <c r="I19" s="65">
        <v>0.66</v>
      </c>
      <c r="J19" s="65">
        <v>0.85</v>
      </c>
      <c r="K19" s="65">
        <v>8.2280000000000006E-2</v>
      </c>
      <c r="L19" s="97">
        <v>0.35773913043478262</v>
      </c>
      <c r="M19" s="94"/>
      <c r="N19" s="54" t="s">
        <v>194</v>
      </c>
      <c r="O19" s="146"/>
    </row>
    <row r="20" spans="1:15" x14ac:dyDescent="0.3">
      <c r="A20" s="164"/>
      <c r="B20" s="54" t="s">
        <v>195</v>
      </c>
      <c r="C20" s="145" t="s">
        <v>196</v>
      </c>
      <c r="D20" s="54" t="s">
        <v>38</v>
      </c>
      <c r="E20" s="54">
        <v>1</v>
      </c>
      <c r="F20" s="64">
        <v>1.2</v>
      </c>
      <c r="G20" s="65">
        <v>0.85</v>
      </c>
      <c r="H20" s="65">
        <v>1.411764705882353</v>
      </c>
      <c r="I20" s="65">
        <v>0.8</v>
      </c>
      <c r="J20" s="65">
        <v>0.9</v>
      </c>
      <c r="K20" s="65">
        <v>1.0164705882352942</v>
      </c>
      <c r="L20" s="97">
        <v>4.4194373401534532</v>
      </c>
      <c r="M20" s="94"/>
      <c r="N20" s="54" t="s">
        <v>188</v>
      </c>
      <c r="O20" s="146"/>
    </row>
    <row r="21" spans="1:15" x14ac:dyDescent="0.3">
      <c r="A21" s="164"/>
      <c r="B21" s="54" t="s">
        <v>197</v>
      </c>
      <c r="C21" s="145"/>
      <c r="D21" s="54" t="s">
        <v>191</v>
      </c>
      <c r="E21" s="54">
        <v>6</v>
      </c>
      <c r="F21" s="64">
        <v>0.16</v>
      </c>
      <c r="G21" s="65">
        <v>0.85</v>
      </c>
      <c r="H21" s="65">
        <v>0.18823529411764706</v>
      </c>
      <c r="I21" s="65">
        <v>0.5</v>
      </c>
      <c r="J21" s="65">
        <v>0.85</v>
      </c>
      <c r="K21" s="65">
        <v>0.48</v>
      </c>
      <c r="L21" s="97">
        <v>2.0869565217391304</v>
      </c>
      <c r="M21" s="94"/>
      <c r="N21" s="54" t="s">
        <v>192</v>
      </c>
      <c r="O21" s="146"/>
    </row>
    <row r="22" spans="1:15" x14ac:dyDescent="0.3">
      <c r="A22" s="164"/>
      <c r="B22" s="54" t="s">
        <v>198</v>
      </c>
      <c r="C22" s="145"/>
      <c r="D22" s="54" t="s">
        <v>40</v>
      </c>
      <c r="E22" s="54">
        <v>6</v>
      </c>
      <c r="F22" s="64">
        <v>2.1999999999999999E-2</v>
      </c>
      <c r="G22" s="65">
        <v>0.9</v>
      </c>
      <c r="H22" s="65">
        <v>2.4444444444444442E-2</v>
      </c>
      <c r="I22" s="65">
        <v>0.66</v>
      </c>
      <c r="J22" s="65">
        <v>0.85</v>
      </c>
      <c r="K22" s="65">
        <v>8.2280000000000006E-2</v>
      </c>
      <c r="L22" s="97">
        <v>0.35773913043478262</v>
      </c>
      <c r="M22" s="94"/>
      <c r="N22" s="54" t="s">
        <v>194</v>
      </c>
      <c r="O22" s="146"/>
    </row>
    <row r="23" spans="1:15" x14ac:dyDescent="0.3">
      <c r="A23" s="164"/>
      <c r="B23" s="54" t="s">
        <v>200</v>
      </c>
      <c r="C23" s="148" t="s">
        <v>196</v>
      </c>
      <c r="D23" s="54" t="s">
        <v>191</v>
      </c>
      <c r="E23" s="54">
        <v>6</v>
      </c>
      <c r="F23" s="64">
        <v>0.16</v>
      </c>
      <c r="G23" s="65">
        <v>0.85</v>
      </c>
      <c r="H23" s="65">
        <v>0.18823529411764706</v>
      </c>
      <c r="I23" s="65">
        <v>0.5</v>
      </c>
      <c r="J23" s="65">
        <v>0.85</v>
      </c>
      <c r="K23" s="65">
        <v>0.48</v>
      </c>
      <c r="L23" s="97">
        <v>2.0869565217391304</v>
      </c>
      <c r="M23" s="94"/>
      <c r="N23" s="54" t="s">
        <v>192</v>
      </c>
      <c r="O23" s="146"/>
    </row>
    <row r="24" spans="1:15" x14ac:dyDescent="0.3">
      <c r="A24" s="164"/>
      <c r="B24" s="54" t="s">
        <v>202</v>
      </c>
      <c r="C24" s="149"/>
      <c r="D24" s="54" t="s">
        <v>40</v>
      </c>
      <c r="E24" s="54">
        <v>6</v>
      </c>
      <c r="F24" s="64">
        <v>2.1999999999999999E-2</v>
      </c>
      <c r="G24" s="65">
        <v>0.9</v>
      </c>
      <c r="H24" s="65">
        <v>2.4444444444444442E-2</v>
      </c>
      <c r="I24" s="65">
        <v>0.66</v>
      </c>
      <c r="J24" s="65">
        <v>0.85</v>
      </c>
      <c r="K24" s="65">
        <v>8.2280000000000006E-2</v>
      </c>
      <c r="L24" s="97">
        <v>0.35773913043478262</v>
      </c>
      <c r="M24" s="94"/>
      <c r="N24" s="54" t="s">
        <v>194</v>
      </c>
      <c r="O24" s="146"/>
    </row>
    <row r="25" spans="1:15" x14ac:dyDescent="0.3">
      <c r="A25" s="164"/>
      <c r="B25" s="54" t="s">
        <v>203</v>
      </c>
      <c r="C25" s="136" t="s">
        <v>211</v>
      </c>
      <c r="D25" s="54" t="s">
        <v>38</v>
      </c>
      <c r="E25" s="54">
        <v>1</v>
      </c>
      <c r="F25" s="64">
        <v>1.2</v>
      </c>
      <c r="G25" s="65">
        <v>0.85</v>
      </c>
      <c r="H25" s="65">
        <v>1.411764705882353</v>
      </c>
      <c r="I25" s="65">
        <v>0.8</v>
      </c>
      <c r="J25" s="65">
        <v>0.9</v>
      </c>
      <c r="K25" s="65">
        <v>1.0164705882352942</v>
      </c>
      <c r="L25" s="97">
        <v>4.4194373401534532</v>
      </c>
      <c r="M25" s="94"/>
      <c r="N25" s="54" t="s">
        <v>188</v>
      </c>
      <c r="O25" s="146"/>
    </row>
    <row r="26" spans="1:15" x14ac:dyDescent="0.3">
      <c r="A26" s="164"/>
      <c r="B26" s="54" t="s">
        <v>204</v>
      </c>
      <c r="C26" s="137"/>
      <c r="D26" s="54" t="s">
        <v>191</v>
      </c>
      <c r="E26" s="54">
        <v>6</v>
      </c>
      <c r="F26" s="64">
        <v>0.18</v>
      </c>
      <c r="G26" s="65">
        <v>0.85</v>
      </c>
      <c r="H26" s="65">
        <v>0.21176470588235294</v>
      </c>
      <c r="I26" s="65">
        <v>0.5</v>
      </c>
      <c r="J26" s="65">
        <v>0.85</v>
      </c>
      <c r="K26" s="65">
        <v>0.53999999999999992</v>
      </c>
      <c r="L26" s="97">
        <v>2.3478260869565211</v>
      </c>
      <c r="M26" s="94"/>
      <c r="N26" s="54" t="s">
        <v>192</v>
      </c>
      <c r="O26" s="146"/>
    </row>
    <row r="27" spans="1:15" x14ac:dyDescent="0.3">
      <c r="A27" s="164"/>
      <c r="B27" s="54" t="s">
        <v>205</v>
      </c>
      <c r="C27" s="138"/>
      <c r="D27" s="54" t="s">
        <v>40</v>
      </c>
      <c r="E27" s="54">
        <v>6</v>
      </c>
      <c r="F27" s="64">
        <v>2.8500000000000001E-2</v>
      </c>
      <c r="G27" s="65">
        <v>0.9</v>
      </c>
      <c r="H27" s="65">
        <v>3.1666666666666669E-2</v>
      </c>
      <c r="I27" s="65">
        <v>0.66</v>
      </c>
      <c r="J27" s="65">
        <v>0.85</v>
      </c>
      <c r="K27" s="65">
        <v>0.10659</v>
      </c>
      <c r="L27" s="97">
        <v>0.46343478260869569</v>
      </c>
      <c r="M27" s="94"/>
      <c r="N27" s="54" t="s">
        <v>194</v>
      </c>
      <c r="O27" s="146"/>
    </row>
    <row r="28" spans="1:15" x14ac:dyDescent="0.3">
      <c r="A28" s="164"/>
      <c r="B28" s="54" t="s">
        <v>212</v>
      </c>
      <c r="C28" s="146" t="s">
        <v>100</v>
      </c>
      <c r="D28" s="54" t="s">
        <v>191</v>
      </c>
      <c r="E28" s="54">
        <v>4</v>
      </c>
      <c r="F28" s="64">
        <v>0.45</v>
      </c>
      <c r="G28" s="65">
        <v>0.85</v>
      </c>
      <c r="H28" s="65">
        <v>0.52941176470588236</v>
      </c>
      <c r="I28" s="65">
        <v>0.5</v>
      </c>
      <c r="J28" s="65">
        <v>0.85</v>
      </c>
      <c r="K28" s="65">
        <v>0.9</v>
      </c>
      <c r="L28" s="97">
        <v>3.9130434782608696</v>
      </c>
      <c r="M28" s="94"/>
      <c r="N28" s="54" t="s">
        <v>192</v>
      </c>
      <c r="O28" s="146"/>
    </row>
    <row r="29" spans="1:15" x14ac:dyDescent="0.3">
      <c r="A29" s="164"/>
      <c r="B29" s="54" t="s">
        <v>213</v>
      </c>
      <c r="C29" s="146"/>
      <c r="D29" s="54" t="s">
        <v>40</v>
      </c>
      <c r="E29" s="54">
        <v>3</v>
      </c>
      <c r="F29" s="64">
        <v>3.5499999999999997E-2</v>
      </c>
      <c r="G29" s="65">
        <v>0.9</v>
      </c>
      <c r="H29" s="65">
        <v>3.9444444444444442E-2</v>
      </c>
      <c r="I29" s="65">
        <v>0.66</v>
      </c>
      <c r="J29" s="65">
        <v>0.85</v>
      </c>
      <c r="K29" s="65">
        <v>6.6384999999999986E-2</v>
      </c>
      <c r="L29" s="97">
        <v>0.28863043478260864</v>
      </c>
      <c r="M29" s="94"/>
      <c r="N29" s="54" t="s">
        <v>194</v>
      </c>
      <c r="O29" s="146"/>
    </row>
    <row r="30" spans="1:15" ht="15" thickBot="1" x14ac:dyDescent="0.35">
      <c r="A30" s="165"/>
      <c r="B30" s="54" t="s">
        <v>214</v>
      </c>
      <c r="C30" s="167"/>
      <c r="D30" s="72" t="s">
        <v>206</v>
      </c>
      <c r="E30" s="72">
        <v>1</v>
      </c>
      <c r="F30" s="73">
        <v>0.75</v>
      </c>
      <c r="G30" s="74">
        <v>0.85</v>
      </c>
      <c r="H30" s="74">
        <v>0.88235294117647056</v>
      </c>
      <c r="I30" s="74">
        <v>0.9</v>
      </c>
      <c r="J30" s="74">
        <v>1</v>
      </c>
      <c r="K30" s="74">
        <v>0.79411764705882348</v>
      </c>
      <c r="L30" s="101">
        <v>3.452685421994885</v>
      </c>
      <c r="M30" s="94"/>
      <c r="N30" s="54" t="s">
        <v>194</v>
      </c>
      <c r="O30" s="146"/>
    </row>
    <row r="31" spans="1:15" ht="15" thickTop="1" x14ac:dyDescent="0.3">
      <c r="A31" s="75"/>
      <c r="B31" s="139" t="s">
        <v>207</v>
      </c>
      <c r="C31" s="140"/>
      <c r="D31" s="140"/>
      <c r="E31" s="140"/>
      <c r="F31" s="140"/>
      <c r="G31" s="140"/>
      <c r="H31" s="140"/>
      <c r="I31" s="140"/>
      <c r="J31" s="141"/>
      <c r="K31" s="102">
        <v>7.1433444117647058</v>
      </c>
      <c r="L31" s="103">
        <v>10.310832003124576</v>
      </c>
    </row>
    <row r="32" spans="1:15" x14ac:dyDescent="0.3">
      <c r="A32" s="76"/>
      <c r="B32" s="142" t="s">
        <v>208</v>
      </c>
      <c r="C32" s="143"/>
      <c r="D32" s="143"/>
      <c r="E32" s="143"/>
      <c r="F32" s="143"/>
      <c r="G32" s="143"/>
      <c r="H32" s="143"/>
      <c r="I32" s="143"/>
      <c r="J32" s="144"/>
      <c r="K32" s="91">
        <v>8.5720132941176459</v>
      </c>
      <c r="L32" s="105">
        <v>12.37299840374949</v>
      </c>
    </row>
    <row r="33" spans="1:15" ht="15" thickBot="1" x14ac:dyDescent="0.35">
      <c r="A33" s="77"/>
      <c r="B33" s="78"/>
      <c r="C33" s="78"/>
      <c r="D33" s="78"/>
      <c r="E33" s="78"/>
      <c r="F33" s="79"/>
      <c r="G33" s="80"/>
      <c r="H33" s="80"/>
      <c r="I33" s="80"/>
      <c r="J33" s="80"/>
      <c r="K33" s="80"/>
      <c r="L33" s="83"/>
    </row>
    <row r="34" spans="1:15" ht="30" thickTop="1" thickBot="1" x14ac:dyDescent="0.35">
      <c r="A34" s="84" t="s">
        <v>215</v>
      </c>
      <c r="B34" s="86"/>
      <c r="C34" s="85" t="s">
        <v>216</v>
      </c>
      <c r="D34" s="86" t="s">
        <v>40</v>
      </c>
      <c r="E34" s="86">
        <v>2</v>
      </c>
      <c r="F34" s="88">
        <v>2.8500000000000001E-2</v>
      </c>
      <c r="G34" s="87">
        <v>0.9</v>
      </c>
      <c r="H34" s="87">
        <v>3.1666666666666669E-2</v>
      </c>
      <c r="I34" s="87">
        <v>0.66</v>
      </c>
      <c r="J34" s="87">
        <v>0.85</v>
      </c>
      <c r="K34" s="87">
        <v>3.5529999999999999E-2</v>
      </c>
      <c r="L34" s="89">
        <v>0.15447826086956523</v>
      </c>
      <c r="M34" s="90"/>
      <c r="N34" s="90" t="s">
        <v>194</v>
      </c>
      <c r="O34" s="90"/>
    </row>
  </sheetData>
  <mergeCells count="16">
    <mergeCell ref="A2:A13"/>
    <mergeCell ref="C2:C4"/>
    <mergeCell ref="C28:C30"/>
    <mergeCell ref="C17:C19"/>
    <mergeCell ref="C20:C22"/>
    <mergeCell ref="O2:O13"/>
    <mergeCell ref="O17:O30"/>
    <mergeCell ref="B14:J14"/>
    <mergeCell ref="B15:J15"/>
    <mergeCell ref="C5:C7"/>
    <mergeCell ref="C11:C13"/>
    <mergeCell ref="B31:J31"/>
    <mergeCell ref="B32:J32"/>
    <mergeCell ref="C25:C27"/>
    <mergeCell ref="C23:C24"/>
    <mergeCell ref="A17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lighting calculation</vt:lpstr>
      <vt:lpstr>Lighting</vt:lpstr>
      <vt:lpstr>ground floor</vt:lpstr>
      <vt:lpstr>Roof floor</vt:lpstr>
      <vt:lpstr>Left aprtment</vt:lpstr>
      <vt:lpstr>right aparment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Priyangika</cp:lastModifiedBy>
  <dcterms:created xsi:type="dcterms:W3CDTF">2026-05-20T05:52:23Z</dcterms:created>
  <dcterms:modified xsi:type="dcterms:W3CDTF">2026-05-27T05:50:07Z</dcterms:modified>
</cp:coreProperties>
</file>